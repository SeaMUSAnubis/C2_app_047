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ownload\"/>
    </mc:Choice>
  </mc:AlternateContent>
  <xr:revisionPtr revIDLastSave="0" documentId="13_ncr:1_{5753EFA2-39EB-4E7B-8D67-9B81B445F9A0}" xr6:coauthVersionLast="47" xr6:coauthVersionMax="47" xr10:uidLastSave="{00000000-0000-0000-0000-000000000000}"/>
  <bookViews>
    <workbookView xWindow="-108" yWindow="-108" windowWidth="23256" windowHeight="12576" firstSheet="3" activeTab="3" xr2:uid="{00000000-000D-0000-FFFF-FFFF00000000}"/>
  </bookViews>
  <sheets>
    <sheet name="Tổng hợp" sheetId="1" r:id="rId1"/>
    <sheet name="Đường link quan trọng" sheetId="2" r:id="rId2"/>
    <sheet name="Thành viên nhóm" sheetId="3" r:id="rId3"/>
    <sheet name="Danh sách User Story" sheetId="4" r:id="rId4"/>
    <sheet name="Lộ trình" sheetId="5" r:id="rId5"/>
    <sheet name="Backlog" sheetId="6" r:id="rId6"/>
    <sheet name="Đặc tả tính năng" sheetId="7" r:id="rId7"/>
    <sheet name="Theo dõi lỗi" sheetId="8" r:id="rId8"/>
    <sheet name="Tài liệu quan trọng" sheetId="9" r:id="rId9"/>
    <sheet name="Hướng dẫn sử dụng" sheetId="10" r:id="rId10"/>
    <sheet name="Kế hoạch 4 tuần"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 r="F24" i="1"/>
  <c r="E24" i="1"/>
  <c r="B30" i="1"/>
  <c r="B29" i="1"/>
  <c r="B28" i="1"/>
  <c r="G23" i="1"/>
  <c r="F23" i="1"/>
  <c r="E23" i="1"/>
  <c r="G22" i="1"/>
  <c r="F22" i="1"/>
  <c r="E22" i="1"/>
  <c r="G21" i="1"/>
  <c r="F21" i="1"/>
  <c r="E21" i="1"/>
  <c r="G20" i="1"/>
  <c r="F20" i="1"/>
  <c r="E20" i="1"/>
  <c r="G19" i="1"/>
  <c r="F19" i="1"/>
  <c r="E19" i="1"/>
</calcChain>
</file>

<file path=xl/sharedStrings.xml><?xml version="1.0" encoding="utf-8"?>
<sst xmlns="http://schemas.openxmlformats.org/spreadsheetml/2006/main" count="1190" uniqueCount="781">
  <si>
    <t>Biên bản họp với đối tác</t>
  </si>
  <si>
    <t>[Dán link vào đây]</t>
  </si>
  <si>
    <t>[Họ tên]</t>
  </si>
  <si>
    <t>Google Doc, Notion, v.v.</t>
  </si>
  <si>
    <t>Báo cáo phản hồi từ đối tác</t>
  </si>
  <si>
    <t>Tài liệu kiểm thử</t>
  </si>
  <si>
    <t>Slide thuyết trình cuối kỳ</t>
  </si>
  <si>
    <t>Kịch bản demo</t>
  </si>
  <si>
    <t>HƯỚNG DẪN SỬ DỤNG TEMPLATE</t>
  </si>
  <si>
    <t>Đọc kỹ trước khi bắt đầu điền — Tránh sai sót và tận dụng tối đa các tính năng</t>
  </si>
  <si>
    <t>A. TỔNG QUAN VỀ TEMPLATE</t>
  </si>
  <si>
    <t>Mục đích</t>
  </si>
  <si>
    <t>Template này là hồ sơ quản lý dự án duy nhất của nhóm. Mọi thông tin về tiến độ, công việc, lỗi, và tài liệu đều được ghi nhận tại đây. Trưởng nhóm chịu trách nhiệm cập nhật liên tục.</t>
  </si>
  <si>
    <t>Nguyên tắc cốt lõi</t>
  </si>
  <si>
    <t>• Chỉ có 1 bản duy nhất — không tách file, không copy
• Cập nhật ít nhất 1 lần/ngày trong giờ làm việc
• Mọi thành viên đều đọc được, chỉ Trưởng nhóm và người được ủy quyền mới sửa</t>
  </si>
  <si>
    <t>Đối tượng sử dụng</t>
  </si>
  <si>
    <t>• Trưởng nhóm: Quản lý, phân việc, báo cáo
• Thành viên: Xem công việc, cập nhật trạng thái
• Mentor: Theo dõi tiến độ, đánh giá
• Đối tác (Stakeholder): XemDemo, phản hồi</t>
  </si>
  <si>
    <t>B. HƯỚNG DẪN TỪNG SHEET</t>
  </si>
  <si>
    <t>1. Tổng hợp</t>
  </si>
  <si>
    <t>• Điền thông tin dự án ở phần đầu (tên, nhóm, ngày, trưởng nhóm)
• Chọn "Tình hình hiện tại" ở ô B3: Đúng tiến độ / Có rủi ro / Bị kẹt
• Các chỉ số ở dưới sẽ tự động đếm từ các sheet khác (không cần điền tay)
• Cập nhật trạng thái Sprint khi bắt đầu/kết thúc mỗi Sprint</t>
  </si>
  <si>
    <t>2. Đường link quan trọng</t>
  </si>
  <si>
    <t>• Dán mọi link liên quan vào đúng phân loại
• Khi thêm link mới, điền ngay "Người quản lý" để biết ai phụ trách
• Xóa placeholder [Dán link vào đây] khi đã điền link thật</t>
  </si>
  <si>
    <t>3. Thành viên nhóm</t>
  </si>
  <si>
    <t>• Điền đủ 4 thành viên với vai trò chính xác
• Tham khảo bảng phân vai bên dưới để hiểu trách nhiệm mỗi vai
• Cập nhật nếu có thay đổi nhân sự</t>
  </si>
  <si>
    <t>4. Danh sách User Story</t>
  </si>
  <si>
    <t>• Viết theo cấu trúc: "Với vai trò [X], tôi muốn [Y], để đạt được [Z]"
• Chọn Mức ưu tiên từ dropdown: Bắt buộc / Nên có / Có thì tốt / Không làm
• Mã US (US-001, US-002...) dùng để liên kết với Backlog và Đặc tả</t>
  </si>
  <si>
    <t>5. Lộ trình</t>
  </si>
  <si>
    <t>• 8 mốc quan trọng đã được tạo sẵn theo quy trình 6 tuần
• Cập nhật ngày cụ thể khi bắt đầu dự án
• Chuyển trạng thái sang "Hoàn thành" ngay khi đạt được mốc</t>
  </si>
  <si>
    <t>6. Backlog</t>
  </si>
  <si>
    <t>• Đây là sheet quan trọng nhất — Phân công và theo dõi mọi công việc
• Mỗi việc phải có: Mã US liên quan, Người phụ trách, Hạn chót, Trạng thái
• Ưu tiên P0 = phải làm ngay, P3 = làm nếu còn thời gian
• Trạng thái sẽ tự đổi màu: Xanh = Hoàn thành, Vàng = Đang làm, Đỏ = Bị kẹt</t>
  </si>
  <si>
    <t>7. Đặc tả tính năng</t>
  </si>
  <si>
    <t>• Viết đặc tả theo 3 phần: Động lực → Thiết kế → Kế hoạch
• Mỗi tính năng quan trọng cần có 1 đặc tả riêng
• Liên kết mã US và mã Task từ Backlog để dễ tra cứu</t>
  </si>
  <si>
    <t>8. Theo dõi lỗi</t>
  </si>
  <si>
    <t>• Báo lỗi ngay khi phát hiện — không đợi
• Điền đủ "Cách tái hiện" để người sửa hiểu rõ vấn đề
• Chọn Mức nghiêm trọng phù hợp (xem thang đo ở cuối sheet)
• Màu tự động hiện: Đỏ = Nghiêm trọng, Vàng = Trung bình, Xanh = Thấp</t>
  </si>
  <si>
    <t>9. Tài liệu quan trọng</t>
  </si>
  <si>
    <t>• Lưu link mọi tài liệu dự án theo đúng phân loại
• Cập nhật "Cập nhật lần cuối" mỗi khi sửa tài liệu
• Đây là nơi duy nhất để tìm tài liệu — không để link rải rác ở Discord/Email</t>
  </si>
  <si>
    <t>C. MẸO SỬ DỤNG HIỆU QUẢ</t>
  </si>
  <si>
    <t>Dropdown tự động</t>
  </si>
  <si>
    <t>Nhiều cột đã có sẵn danh sách chọn (Priority, Status, Severity). Nhấn vào ô và chọn từ dropdown — không gõ tay để tránh sai chính tả.</t>
  </si>
  <si>
    <t>Màu sắc tự động</t>
  </si>
  <si>
    <t>Trạng thái sẽ tự đổi màu theo giá trị:
• Xanh lá = Hoàn thành / Thấp
• Vàng = Đang làm / Trung bình
• Đỏ = Bị kẹt / Nghiêm trọng / P0</t>
  </si>
  <si>
    <t>Công thức tự động</t>
  </si>
  <si>
    <t>Một số ô ở sheet Tổng hợp sẽ tự động đếm số lượng từ các sheet khác. KHÔNG sửa các ô có công thức (bắt đầu bằng dấu =).</t>
  </si>
  <si>
    <t>Liên kết giữa các sheet</t>
  </si>
  <si>
    <t>Mã User Story (US-001) xuất hiện ở 4 sheet: Danh sách US, Backlog, Đặc tả, và Theo dõi lỗi. Dùng mã này để tra cứu chéo.</t>
  </si>
  <si>
    <t>Quy trình hàng ngày</t>
  </si>
  <si>
    <t>1. Sáng: Mở file, kiểm tra công việc hôm nay trong Backlog
2. Trong ngày: Cập nhật trạng thái công việc khi thay đổi
3. Chiều: Báo cáo standup dựa trên thông tin trong file
4. Tối: Trưởng nhóm kiểm tra và tổng hợp</t>
  </si>
  <si>
    <t>D. LƯU Ý QUAN TRỌNG</t>
  </si>
  <si>
    <t>Không xóa dòng có sẵn</t>
  </si>
  <si>
    <t>Các dòng đã có mã (US-001, T-001, BUG-001) được giữ sẵn để điền. Chỉ cần điền nội dung, không cần thêm dòng mới trừ khi hết chỗ.</t>
  </si>
  <si>
    <t>Luôn lưu (Ctrl+S)</t>
  </si>
  <si>
    <t>Nếu dùng Google Sheets, dữ liệu tự lưu. Nếu dùng Excel, nhớ lưu thường xuyên.</t>
  </si>
  <si>
    <t>Bảo mật</t>
  </si>
  <si>
    <t>Không chia sẻ file công khai. Chỉ chia sẻ cho thành viên nhóm và mentor.</t>
  </si>
  <si>
    <t>HỒ SƠ QUẢN LÝ DỰ ÁN</t>
  </si>
  <si>
    <t>Được cập nhật theo tài liệu UEBA hiện có — nguồn tin cậy duy nhất về tình hình dự án</t>
  </si>
  <si>
    <t>Tình hình hiện tại</t>
  </si>
  <si>
    <t>Đã qua 2 tuần đầu; W3 đang khởi động MVP nền</t>
  </si>
  <si>
    <t>Tên dự án</t>
  </si>
  <si>
    <t>Vespionage / UEBA Endpoint Monitoring</t>
  </si>
  <si>
    <t>Nhóm</t>
  </si>
  <si>
    <t>Ngày bắt đầu</t>
  </si>
  <si>
    <t>30/05/2026</t>
  </si>
  <si>
    <t>Ngày kết thúc dự kiến</t>
  </si>
  <si>
    <t>06/07/2026</t>
  </si>
  <si>
    <t>Trưởng nhóm / Điều phối</t>
  </si>
  <si>
    <t>Hoàng Trung Quân</t>
  </si>
  <si>
    <t>Mentor phụ trách</t>
  </si>
  <si>
    <t>Quốc</t>
  </si>
  <si>
    <t>Đối tác sử dụng (Stakeholder)</t>
  </si>
  <si>
    <t>Security Admin, SOC/Security Analyst, SysAdmin, Risk &amp; Compliance</t>
  </si>
  <si>
    <t>Kho lưu mã nguồn (GitHub)</t>
  </si>
  <si>
    <t>https://github.com/AI20K-Build-Cohort-2/C2-App-047</t>
  </si>
  <si>
    <t>Địa chỉ sản phẩm (Live URL)</t>
  </si>
  <si>
    <t>[Dán link sản phẩm đã triển khai trong W5-W6]</t>
  </si>
  <si>
    <t>Mục tiêu dự án</t>
  </si>
  <si>
    <t>Xây dựng web/app UEBA phát hiện hành vi bất thường từ log CERT r4.2/agent, chấm điểm rủi ro, tạo alert, giải thích bằng LLM/fallback và deploy online.</t>
  </si>
  <si>
    <t>TỔNG HỢP TIẾN ĐỘ THEO SPRINT</t>
  </si>
  <si>
    <t>Sprint</t>
  </si>
  <si>
    <t>Giai đoạn</t>
  </si>
  <si>
    <t>Từ ngày</t>
  </si>
  <si>
    <t>Đến ngày</t>
  </si>
  <si>
    <t>Tổng số việc</t>
  </si>
  <si>
    <t>Đã xong</t>
  </si>
  <si>
    <t>Đang làm</t>
  </si>
  <si>
    <t>Trạng thái</t>
  </si>
  <si>
    <t>Sprint 1</t>
  </si>
  <si>
    <t>Nền tảng sản phẩm</t>
  </si>
  <si>
    <t>05/06/2026</t>
  </si>
  <si>
    <t>Hoàn thành</t>
  </si>
  <si>
    <t>Sprint 2</t>
  </si>
  <si>
    <t>Data/API/ML scaffold</t>
  </si>
  <si>
    <t>06/06/2026</t>
  </si>
  <si>
    <t>12/06/2026</t>
  </si>
  <si>
    <t>Sprint 3</t>
  </si>
  <si>
    <t>MVP nền chạy được</t>
  </si>
  <si>
    <t>13/06/2026</t>
  </si>
  <si>
    <t>19/06/2026</t>
  </si>
  <si>
    <t>Sprint 4</t>
  </si>
  <si>
    <t>Anomaly engine + alert loop</t>
  </si>
  <si>
    <t>20/06/2026</t>
  </si>
  <si>
    <t>26/06/2026</t>
  </si>
  <si>
    <t>Chưa bắt đầu</t>
  </si>
  <si>
    <t>Sprint 5</t>
  </si>
  <si>
    <t>E2E + QA + deploy staging</t>
  </si>
  <si>
    <t>27/06/2026</t>
  </si>
  <si>
    <t>03/07/2026</t>
  </si>
  <si>
    <t>Sprint 6</t>
  </si>
  <si>
    <t>Final deploy + bàn giao</t>
  </si>
  <si>
    <t>04/07/2026</t>
  </si>
  <si>
    <t>CHỈ SỐ THEO DÕI CHÍNH</t>
  </si>
  <si>
    <t>Tổng số User Story</t>
  </si>
  <si>
    <t>câu</t>
  </si>
  <si>
    <t>Tính năng đã hoàn thành</t>
  </si>
  <si>
    <t>Lỗi đang mở</t>
  </si>
  <si>
    <t>Nghiêm trọng / Cao / Trung bình / Thấp</t>
  </si>
  <si>
    <t>Số lần gặp đối tác</t>
  </si>
  <si>
    <t>lần</t>
  </si>
  <si>
    <t>Mức hài lòng (Demo)</t>
  </si>
  <si>
    <t>trên 10</t>
  </si>
  <si>
    <t>Tình trạng triển khai</t>
  </si>
  <si>
    <t>Local → Staging W5 → Production demo W6</t>
  </si>
  <si>
    <t>ĐƯỜNG LINK QUAN TRỌNG</t>
  </si>
  <si>
    <t>Liên kết cần cập nhật trong quá trình triển khai UEBA</t>
  </si>
  <si>
    <t>STT</t>
  </si>
  <si>
    <t>Đường link</t>
  </si>
  <si>
    <t>Ghi chú</t>
  </si>
  <si>
    <t>GitHub repo</t>
  </si>
  <si>
    <t>Bùi Hoàng Linh</t>
  </si>
  <si>
    <t>Đã có</t>
  </si>
  <si>
    <t>Code source chính</t>
  </si>
  <si>
    <t>Backend API URL</t>
  </si>
  <si>
    <t>[Điền Render/Railway/Fly.io URL trong W5-W6]</t>
  </si>
  <si>
    <t>Chưa có</t>
  </si>
  <si>
    <t>Không để localhost-only</t>
  </si>
  <si>
    <t>Frontend dashboard URL</t>
  </si>
  <si>
    <t>[Điền Vercel/Netlify URL trong W5-W6]</t>
  </si>
  <si>
    <t>URL demo public</t>
  </si>
  <si>
    <t>API docs / Swagger</t>
  </si>
  <si>
    <t>[Điền /docs của backend khi deploy]</t>
  </si>
  <si>
    <t>Dùng để mentor kiểm tra API</t>
  </si>
  <si>
    <t>Demo script / walkthrough</t>
  </si>
  <si>
    <t>presentation/demo_script.md</t>
  </si>
  <si>
    <t>Cần viết</t>
  </si>
  <si>
    <t>Luồng demo cuối kỳ</t>
  </si>
  <si>
    <t>Model report</t>
  </si>
  <si>
    <t>eval/results/model_report.md</t>
  </si>
  <si>
    <t>Mai Ngọc Duy</t>
  </si>
  <si>
    <t>Metrics và known scenario detection</t>
  </si>
  <si>
    <t>DANH SÁCH THÀNH VIÊN NHÓM</t>
  </si>
  <si>
    <t>Họ và tên</t>
  </si>
  <si>
    <t>Vai trò chính</t>
  </si>
  <si>
    <t>Vai trò phụ</t>
  </si>
  <si>
    <t>Email</t>
  </si>
  <si>
    <t>Discord</t>
  </si>
  <si>
    <t>GitHub</t>
  </si>
  <si>
    <t>Cam kết (giờ/tuần)</t>
  </si>
  <si>
    <t>Data/ML Engineer</t>
  </si>
  <si>
    <t>CERT import, feature engineering, iForest, metrics</t>
  </si>
  <si>
    <t>Owner pipeline ML và đánh giá model</t>
  </si>
  <si>
    <t>Backend/DevOps Engineer</t>
  </si>
  <si>
    <t>FastAPI, DB schema, auth/RBAC, deploy backend</t>
  </si>
  <si>
    <t>Owner API, database, integration và CI/Docker</t>
  </si>
  <si>
    <t>Frontend/LLM/Product</t>
  </si>
  <si>
    <t>Dashboard, LLM explanation, UX, demo docs</t>
  </si>
  <si>
    <t>Owner UI, analyst workflow, README/demo</t>
  </si>
  <si>
    <t>BẢNG PHÂN VAI THEO WORKSTREAM</t>
  </si>
  <si>
    <t>Data contract &amp; CERT r4.2</t>
  </si>
  <si>
    <t>Chuẩn hóa logon/device/file/http/email/LDAP/psychometric; build user-day feature matrix</t>
  </si>
  <si>
    <t>Normalized events + artifacts/preprocessing/*.csv</t>
  </si>
  <si>
    <t>ML anomaly + risk scoring</t>
  </si>
  <si>
    <t>Train Isolation Forest, batch inference, score 0-100, top anomalous features</t>
  </si>
  <si>
    <t>Model artifact + metrics + alert candidates</t>
  </si>
  <si>
    <t>Backend API &amp; database</t>
  </si>
  <si>
    <t>Auth/JWT/RBAC, users/devices/logs/alerts/dashboard/model endpoints</t>
  </si>
  <si>
    <t>FastAPI service + persistent DB</t>
  </si>
  <si>
    <t>Frontend dashboard</t>
  </si>
  <si>
    <t>Login, overview, users/devices/logs/alerts, alert detail, timeline</t>
  </si>
  <si>
    <t>Web app deployable with complete UI/UX</t>
  </si>
  <si>
    <t>LLM explanation/fallback</t>
  </si>
  <si>
    <t>Prompt/template explanation từ anomaly context, risk factors, timeline</t>
  </si>
  <si>
    <t>Explanation service with rule-based fallback</t>
  </si>
  <si>
    <t>QA, docs, deployment</t>
  </si>
  <si>
    <t>Test API/E2E, Docker, deploy URL, README, demo script</t>
  </si>
  <si>
    <t>Public URL + final demo package</t>
  </si>
  <si>
    <t>DANH SÁCH USER STORY / USE CASE</t>
  </si>
  <si>
    <t>Mã</t>
  </si>
  <si>
    <t>Tên câu chuyện sử dụng</t>
  </si>
  <si>
    <t>Mô tả ngắn</t>
  </si>
  <si>
    <t>Với vai trò</t>
  </si>
  <si>
    <t>Tôi muốn</t>
  </si>
  <si>
    <t>Để đạt được</t>
  </si>
  <si>
    <t>Mức ưu tiên</t>
  </si>
  <si>
    <t>Sprint dự kiến</t>
  </si>
  <si>
    <t>Xem đặc tả</t>
  </si>
  <si>
    <t>US-01</t>
  </si>
  <si>
    <t>Đăng nhập dashboard bằng JWT</t>
  </si>
  <si>
    <t>Login email/password, token dùng gọi API quản trị</t>
  </si>
  <si>
    <t>Admin/Analyst</t>
  </si>
  <si>
    <t>đăng nhập an toàn</t>
  </si>
  <si>
    <t>chỉ người có quyền truy cập dashboard</t>
  </si>
  <si>
    <t>Bắt buộc</t>
  </si>
  <si>
    <t>Spec Auth</t>
  </si>
  <si>
    <t>US-02</t>
  </si>
  <si>
    <t>Phân quyền admin/analyst</t>
  </si>
  <si>
    <t>Giới hạn chức năng nhạy cảm theo role</t>
  </si>
  <si>
    <t>Admin</t>
  </si>
  <si>
    <t>phân biệt quyền admin và analyst</t>
  </si>
  <si>
    <t>đảm bảo kiểm soát truy cập cơ bản</t>
  </si>
  <si>
    <t>US-03</t>
  </si>
  <si>
    <t>Xem danh sách và chi tiết user</t>
  </si>
  <si>
    <t>Danh sách user, filter department/role/status, risk score</t>
  </si>
  <si>
    <t>theo dõi từng nhân viên/tài khoản</t>
  </si>
  <si>
    <t>ưu tiên user có risk cao</t>
  </si>
  <si>
    <t>Spec Dashboard</t>
  </si>
  <si>
    <t>US-04</t>
  </si>
  <si>
    <t>Quản lý user demo</t>
  </si>
  <si>
    <t>Thêm/sửa/khóa user demo và thông tin phòng ban/vai trò</t>
  </si>
  <si>
    <t>quản lý user demo</t>
  </si>
  <si>
    <t>mô phỏng dữ liệu nhân sự</t>
  </si>
  <si>
    <t>Nên có</t>
  </si>
  <si>
    <t>Spec Backend</t>
  </si>
  <si>
    <t>US-05</t>
  </si>
  <si>
    <t>Xem danh sách thiết bị</t>
  </si>
  <si>
    <t>Device list, assigned user, status, last_seen, risk</t>
  </si>
  <si>
    <t>theo dõi thiết bị công ty cấp</t>
  </si>
  <si>
    <t>biết thiết bị nào có rủi ro</t>
  </si>
  <si>
    <t>US-06</t>
  </si>
  <si>
    <t>Gán device cho user</t>
  </si>
  <si>
    <t>Quản lý owner thiết bị tại một thời điểm</t>
  </si>
  <si>
    <t>gán device cho user</t>
  </si>
  <si>
    <t>phân tích hành vi đúng ngữ cảnh</t>
  </si>
  <si>
    <t>US-07</t>
  </si>
  <si>
    <t>Import CERT r4.2</t>
  </si>
  <si>
    <t>Import logon/device/file/http/email/LDAP/psychometric</t>
  </si>
  <si>
    <t>import dataset thật</t>
  </si>
  <si>
    <t>có nguồn log chính cho training/demo</t>
  </si>
  <si>
    <t>Spec Data/ML</t>
  </si>
  <si>
    <t>US-08</t>
  </si>
  <si>
    <t>Chuẩn hóa endpoint events</t>
  </si>
  <si>
    <t>Map CERT CSV sang schema normalized endpoint event</t>
  </si>
  <si>
    <t>chuẩn hóa log</t>
  </si>
  <si>
    <t>dashboard và model dùng cùng contract</t>
  </si>
  <si>
    <t>US-09</t>
  </si>
  <si>
    <t>Lưu normalized logs và API ingest</t>
  </si>
  <si>
    <t>Lưu event có source_id/source_file và POST /api/logs/ingest</t>
  </si>
  <si>
    <t>Hệ thống</t>
  </si>
  <si>
    <t>lưu log truy vết được</t>
  </si>
  <si>
    <t>phục vụ timeline và phase agent thật</t>
  </si>
  <si>
    <t>US-10</t>
  </si>
  <si>
    <t>Timeline quanh alert</t>
  </si>
  <si>
    <t>Hiển thị chuỗi sự kiện trước/sau anomaly</t>
  </si>
  <si>
    <t>Analyst</t>
  </si>
  <si>
    <t>xem timeline</t>
  </si>
  <si>
    <t>hiểu bối cảnh điều tra</t>
  </si>
  <si>
    <t>US-11</t>
  </si>
  <si>
    <t>Train ML anomaly detection</t>
  </si>
  <si>
    <t>Feature windows, Isolation Forest, artifact, metrics</t>
  </si>
  <si>
    <t>train model</t>
  </si>
  <si>
    <t>phát hiện bất thường dựa trên baseline</t>
  </si>
  <si>
    <t>US-12</t>
  </si>
  <si>
    <t>Risk score 0-100</t>
  </si>
  <si>
    <t>Chuyển anomaly score + feature severity sang Low/Medium/High/Critical</t>
  </si>
  <si>
    <t>xem risk score chuẩn hóa</t>
  </si>
  <si>
    <t>ưu tiên xử lý cảnh báo</t>
  </si>
  <si>
    <t>Spec ML/API</t>
  </si>
  <si>
    <t>US-13</t>
  </si>
  <si>
    <t>Tạo và quản lý alert</t>
  </si>
  <si>
    <t>Alert khi risk&gt;=60, status new/investigating/resolved/false_positive</t>
  </si>
  <si>
    <t>quản lý alert</t>
  </si>
  <si>
    <t>không phải đọc từng dòng log</t>
  </si>
  <si>
    <t>Spec Alert</t>
  </si>
  <si>
    <t>US-14</t>
  </si>
  <si>
    <t>LLM/rule-based explanation</t>
  </si>
  <si>
    <t>Diễn giải anomaly từ score, top features, baseline, timeline</t>
  </si>
  <si>
    <t>đọc explanation dễ hiểu</t>
  </si>
  <si>
    <t>quyết định điều tra nhanh hơn</t>
  </si>
  <si>
    <t>Spec LLM</t>
  </si>
  <si>
    <t>US-15</t>
  </si>
  <si>
    <t>Overview dashboard</t>
  </si>
  <si>
    <t>Cards và charts tổng user/device/log/alert/top risk</t>
  </si>
  <si>
    <t>xem tổng quan rủi ro</t>
  </si>
  <si>
    <t>nắm nhanh tình trạng hệ thống</t>
  </si>
  <si>
    <t>US-16</t>
  </si>
  <si>
    <t>Alerts page và filter</t>
  </si>
  <si>
    <t>Bảng alert, filter severity/status/user/device, đổi status</t>
  </si>
  <si>
    <t>lọc và xử lý alert</t>
  </si>
  <si>
    <t>ưu tiên high/critical alert</t>
  </si>
  <si>
    <t>THANG MỨC ƯU TIÊN</t>
  </si>
  <si>
    <t>Sản phẩm không hoạt động nếu thiếu — Phải hoàn thành</t>
  </si>
  <si>
    <t>Tăng giá trị đáng kể nhưng không ảnh hưởng lõi demo</t>
  </si>
  <si>
    <t>Có thì tốt</t>
  </si>
  <si>
    <t>Làm nếu còn thời gian — Không ảnh hưởng nếu bỏ qua</t>
  </si>
  <si>
    <t>Không làm</t>
  </si>
  <si>
    <t>Ngoài phạm vi giai đoạn MVP</t>
  </si>
  <si>
    <t>LỘ TRÌNH DỰ ÁN — CÁC MỐC CHÍNH</t>
  </si>
  <si>
    <t>Mốc quan trọng</t>
  </si>
  <si>
    <t>Mô tả chi tiết</t>
  </si>
  <si>
    <t>Tuần</t>
  </si>
  <si>
    <t>Người chịu trách nhiệm</t>
  </si>
  <si>
    <t>Kết quả giao nộp</t>
  </si>
  <si>
    <t>M1</t>
  </si>
  <si>
    <t>Chốt brief/PRD/requirements</t>
  </si>
  <si>
    <t>Why/Who, scope MVP, demo flow, user stories, privacy note</t>
  </si>
  <si>
    <t>W1</t>
  </si>
  <si>
    <t>BRIEF.md, PRD.md, UEBA_REQUIREMENTS.md</t>
  </si>
  <si>
    <t>M2</t>
  </si>
  <si>
    <t>Chốt architecture/repo/data contract</t>
  </si>
  <si>
    <t>FastAPI scaffold, repo standard, normalized event schema, CERT mapping</t>
  </si>
  <si>
    <t>W2</t>
  </si>
  <si>
    <t>ARCHITECTURE.md, DATA_CONTRACT.md, repo structure</t>
  </si>
  <si>
    <t>M3</t>
  </si>
  <si>
    <t>MVP nền: auth + DB + import + UI shell</t>
  </si>
  <si>
    <t>Login/RBAC, schema users/devices/logs/alerts, import CERT subset, feature matrix, dashboard shell</t>
  </si>
  <si>
    <t>W3</t>
  </si>
  <si>
    <t>Duy + Linh + Quân</t>
  </si>
  <si>
    <t>API chạy được + UI shell + data import demo</t>
  </si>
  <si>
    <t>M4</t>
  </si>
  <si>
    <t>Train iForest, inference, risk 0-100, tạo alert risk&gt;=60, alert APIs</t>
  </si>
  <si>
    <t>W4</t>
  </si>
  <si>
    <t>Duy + Linh</t>
  </si>
  <si>
    <t>Model artifact + risk scoring + alert generation</t>
  </si>
  <si>
    <t>M5</t>
  </si>
  <si>
    <t>Analyst workflow hoàn chỉnh</t>
  </si>
  <si>
    <t>Alert list/detail, timeline, LLM/fallback explanation, charts overview, status update</t>
  </si>
  <si>
    <t>W5</t>
  </si>
  <si>
    <t>Quân + Linh + Duy</t>
  </si>
  <si>
    <t>Luồng demo end-to-end từ import → alert → explanation</t>
  </si>
  <si>
    <t>M6</t>
  </si>
  <si>
    <t>QA + Deploy + Demo final</t>
  </si>
  <si>
    <t>Test, Docker, deploy online, README, privacy note, demo script, final presentation</t>
  </si>
  <si>
    <t>W6</t>
  </si>
  <si>
    <t>Cả nhóm</t>
  </si>
  <si>
    <t>Public URL + README + kịch bản demo + báo cáo</t>
  </si>
  <si>
    <t>BACKLOG — QUẢN LÝ CÔNG VIỆC THEO SPRINT</t>
  </si>
  <si>
    <t>Mã việc</t>
  </si>
  <si>
    <t>Tên công việc</t>
  </si>
  <si>
    <t>Mã US liên quan</t>
  </si>
  <si>
    <t>Ưu tiên</t>
  </si>
  <si>
    <t>Dự kiến (giờ)</t>
  </si>
  <si>
    <t>Người phụ trách</t>
  </si>
  <si>
    <t>Hạn chót</t>
  </si>
  <si>
    <t>Link Spec / PR</t>
  </si>
  <si>
    <t>Vướng mắc</t>
  </si>
  <si>
    <t>T-001</t>
  </si>
  <si>
    <t>Chốt Product Brief / Why-Who</t>
  </si>
  <si>
    <t>Xác định bài toán UEBA, persona, scope, privacy, tiêu chí MVP</t>
  </si>
  <si>
    <t>P0</t>
  </si>
  <si>
    <t>docs/BRIEF.md</t>
  </si>
  <si>
    <t>Nền tảng định hướng sản phẩm</t>
  </si>
  <si>
    <t>T-002</t>
  </si>
  <si>
    <t>Viết PRD và yêu cầu triển khai</t>
  </si>
  <si>
    <t>US-01, US-15</t>
  </si>
  <si>
    <t>Mô tả MVP loop, user stories, acceptance criteria, demo flow</t>
  </si>
  <si>
    <t>docs/PRD.md</t>
  </si>
  <si>
    <t>Dùng làm source of truth</t>
  </si>
  <si>
    <t>T-003</t>
  </si>
  <si>
    <t>Thiết kế architecture + repo standard</t>
  </si>
  <si>
    <t>Chốt module boundaries src/api, src/models, src/services, src/agents</t>
  </si>
  <si>
    <t>docs/ARCHITECTURE.md</t>
  </si>
  <si>
    <t>Bám starter-code-template</t>
  </si>
  <si>
    <t>T-004</t>
  </si>
  <si>
    <t>Chốt Data Contract CERT r4.2</t>
  </si>
  <si>
    <t>US-07, US-08</t>
  </si>
  <si>
    <t>Normalized endpoint event, mapping logon/device/file/http/email/LDAP, feature outputs</t>
  </si>
  <si>
    <t>docs/DATA_CONTRACT.md</t>
  </si>
  <si>
    <t>Dữ liệu làm cầu nối backend-ML</t>
  </si>
  <si>
    <t>T-005</t>
  </si>
  <si>
    <t>FastAPI scaffold và route nền</t>
  </si>
  <si>
    <t>Healthcheck, routes.py, schema Pydantic nền, cấu trúc services</t>
  </si>
  <si>
    <t>src/main.py, src/api/routes.py</t>
  </si>
  <si>
    <t>Cần tiếp tục mở rộng DB/auth</t>
  </si>
  <si>
    <t>T-006</t>
  </si>
  <si>
    <t>ML preprocessing/iForest scaffold</t>
  </si>
  <si>
    <t>Pipeline tạo user_day_features, feature matrix, feature columns</t>
  </si>
  <si>
    <t>src/services/ueba_ml/pipelines</t>
  </si>
  <si>
    <t>Đã có artifacts local cho demo</t>
  </si>
  <si>
    <t>Sprint 3: W3 — dựng MVP nền chạy được</t>
  </si>
  <si>
    <t>T-007</t>
  </si>
  <si>
    <t>Thiết kế DB schema + migration/seed</t>
  </si>
  <si>
    <t>US-03, US-05, US-09, US-13</t>
  </si>
  <si>
    <t>Bảng app_accounts, users, devices, event_logs, feature_windows, model_artifacts, alerts; seed admin/analyst</t>
  </si>
  <si>
    <t>16/06/2026</t>
  </si>
  <si>
    <t>src/models/schemas.py</t>
  </si>
  <si>
    <t>Ưu tiên để frontend tích hợp sớm</t>
  </si>
  <si>
    <t>T-008</t>
  </si>
  <si>
    <t>Auth JWT + RBAC middleware</t>
  </si>
  <si>
    <t>US-01, US-02</t>
  </si>
  <si>
    <t>Login admin@demo.com/analyst@demo.com, /me, role check admin/analyst</t>
  </si>
  <si>
    <t>17/06/2026</t>
  </si>
  <si>
    <t>src/api/routes.py</t>
  </si>
  <si>
    <t>Bắt buộc cho tiêu chí web/app</t>
  </si>
  <si>
    <t>T-009</t>
  </si>
  <si>
    <t>CERT importer + import summary API</t>
  </si>
  <si>
    <t>Import subset logon/device/file/http/email/LDAP; status pending/running/completed/failed; summary rows/users/devices/time range</t>
  </si>
  <si>
    <t>18/06/2026</t>
  </si>
  <si>
    <t>src/services/ueba_ml</t>
  </si>
  <si>
    <t>Cần xử lý chunk cho file lớn</t>
  </si>
  <si>
    <t>T-010</t>
  </si>
  <si>
    <t>Feature builder tích hợp backend</t>
  </si>
  <si>
    <t>Build user/device/day windows, lưu feature_summary/baseline_context và artifact metadata</t>
  </si>
  <si>
    <t>POST /api/features/build</t>
  </si>
  <si>
    <t>Output dùng cho inference</t>
  </si>
  <si>
    <t>T-011</t>
  </si>
  <si>
    <t>UI shell + login + layout dashboard</t>
  </si>
  <si>
    <t>React/Next app, auth store, protected routes, sidebar/pages skeleton</t>
  </si>
  <si>
    <t>frontend/app</t>
  </si>
  <si>
    <t>Đủ để demo navigation</t>
  </si>
  <si>
    <t>T-012</t>
  </si>
  <si>
    <t>Users/Devices/Logs pages + API client</t>
  </si>
  <si>
    <t>US-03, US-05, US-09</t>
  </si>
  <si>
    <t>Bảng users/devices/logs, filter cơ bản, gọi API thật/fallback seed data</t>
  </si>
  <si>
    <t>frontend/pages</t>
  </si>
  <si>
    <t>Phục vụ demo trạng thái hệ thống</t>
  </si>
  <si>
    <t>Sprint 4: W4 — hoàn thiện anomaly engine và alert loop</t>
  </si>
  <si>
    <t>T-013</t>
  </si>
  <si>
    <t>Train Isolation Forest + model registry</t>
  </si>
  <si>
    <t>Train reproducible, lưu model_version, training_config, metrics_json, artifact_path</t>
  </si>
  <si>
    <t>23/06/2026</t>
  </si>
  <si>
    <t>Core AI của dự án</t>
  </si>
  <si>
    <t>T-014</t>
  </si>
  <si>
    <t>Batch inference + risk score 0-100</t>
  </si>
  <si>
    <t>Chuyển anomaly score sang risk_score, severity Low/Medium/High/Critical, top anomalous features</t>
  </si>
  <si>
    <t>24/06/2026</t>
  </si>
  <si>
    <t>POST /api/models/{version}/infer</t>
  </si>
  <si>
    <t>Ngưỡng alert risk&gt;=60</t>
  </si>
  <si>
    <t>T-015</t>
  </si>
  <si>
    <t>Alert service + API filter/status</t>
  </si>
  <si>
    <t>US-13, US-16</t>
  </si>
  <si>
    <t>Tạo alert từ inference, GET/PATCH alerts, filter severity/status/user/device</t>
  </si>
  <si>
    <t>25/06/2026</t>
  </si>
  <si>
    <t>src/services/alerts.py</t>
  </si>
  <si>
    <t>Kết nối ML với dashboard</t>
  </si>
  <si>
    <t>T-016</t>
  </si>
  <si>
    <t>Dashboard summary endpoints</t>
  </si>
  <si>
    <t>Cards tổng user/device/log/alert, high/critical, top risk users/devices, charts data</t>
  </si>
  <si>
    <t>/api/dashboard/*</t>
  </si>
  <si>
    <t>Giúp UI không tính toán phía client</t>
  </si>
  <si>
    <t>T-017</t>
  </si>
  <si>
    <t>LLM explanation service + fallback</t>
  </si>
  <si>
    <t>Prompt/fallback từ anomaly_score, top_features, baseline, timeline; không phụ thuộc API key</t>
  </si>
  <si>
    <t>src/services/llm.py</t>
  </si>
  <si>
    <t>Bắt buộc có explanation 100% alert</t>
  </si>
  <si>
    <t>T-018</t>
  </si>
  <si>
    <t>Alerts page + alert detail + timeline UI</t>
  </si>
  <si>
    <t>US-10, US-14, US-16</t>
  </si>
  <si>
    <t>Bảng alerts, màu severity, đổi status, timeline quanh alert, explanation dễ đọc</t>
  </si>
  <si>
    <t>frontend/alerts</t>
  </si>
  <si>
    <t>Luồng analyst chính</t>
  </si>
  <si>
    <t>Sprint 5: W5 — tích hợp end-to-end, QA và deploy staging</t>
  </si>
  <si>
    <t>T-019</t>
  </si>
  <si>
    <t>E2E flow import → train → infer → alert → explanation</t>
  </si>
  <si>
    <t>US-07..US-16</t>
  </si>
  <si>
    <t>Kịch bản demo chạy từ data đến dashboard; ghi lại steps và expected output</t>
  </si>
  <si>
    <t>29/06/2026</t>
  </si>
  <si>
    <t>scripts/demo_flow.*</t>
  </si>
  <si>
    <t>Tiêu chí nghiệm thu cốt lõi</t>
  </si>
  <si>
    <t>T-020</t>
  </si>
  <si>
    <t>Đánh giá model và tuning ngưỡng</t>
  </si>
  <si>
    <t>US-11, US-12</t>
  </si>
  <si>
    <t>Known scenario detection, false positive review, metrics/report trong eval/results</t>
  </si>
  <si>
    <t>01/07/2026</t>
  </si>
  <si>
    <t>eval/results</t>
  </si>
  <si>
    <t>Cần số liệu thuyết phục</t>
  </si>
  <si>
    <t>T-021</t>
  </si>
  <si>
    <t>API tests + integration tests</t>
  </si>
  <si>
    <t>US-01..US-16</t>
  </si>
  <si>
    <t>Test auth, users/devices/logs/alerts, analyze, status update; smoke test health/db</t>
  </si>
  <si>
    <t>02/07/2026</t>
  </si>
  <si>
    <t>tests/test_api</t>
  </si>
  <si>
    <t>Giảm rủi ro demo fail</t>
  </si>
  <si>
    <t>T-022</t>
  </si>
  <si>
    <t>UI polish + privacy/compliance note</t>
  </si>
  <si>
    <t>US-14..US-16</t>
  </si>
  <si>
    <t>Responsive, loading/error states, privacy notice, empty states, severity visuals</t>
  </si>
  <si>
    <t>P1</t>
  </si>
  <si>
    <t>frontend</t>
  </si>
  <si>
    <t>Tăng chất lượng trải nghiệm</t>
  </si>
  <si>
    <t>T-023</t>
  </si>
  <si>
    <t>Docker/Deploy staging</t>
  </si>
  <si>
    <t>US-15, US-16</t>
  </si>
  <si>
    <t>Dockerfile/docker-compose, .env.example, deploy backend + frontend, persistent DB/artifacts strategy</t>
  </si>
  <si>
    <t>Dockerfile, docker-compose.yml</t>
  </si>
  <si>
    <t>Cần public URL</t>
  </si>
  <si>
    <t>Sprint 6: W6 — khóa scope, hoàn thiện bàn giao</t>
  </si>
  <si>
    <t>T-024</t>
  </si>
  <si>
    <t>Bug bash và sửa lỗi P0/P1</t>
  </si>
  <si>
    <t>Chạy checklist demo, sửa bug auth/API/UI/ML/LLM, cập nhật trạng thái bug tracker</t>
  </si>
  <si>
    <t>Theo dõi lỗi</t>
  </si>
  <si>
    <t>Không thêm scope mới</t>
  </si>
  <si>
    <t>T-025</t>
  </si>
  <si>
    <t>README + hướng dẫn chạy/deploy/demo</t>
  </si>
  <si>
    <t>Cách chạy backend/frontend/agent/import/train/infer/deploy; tài khoản demo; privacy note</t>
  </si>
  <si>
    <t>05/07/2026</t>
  </si>
  <si>
    <t>README.md</t>
  </si>
  <si>
    <t>Bắt buộc để mentor chạy lại</t>
  </si>
  <si>
    <t>T-026</t>
  </si>
  <si>
    <t>Chốt production URL + dữ liệu demo</t>
  </si>
  <si>
    <t>Kiểm tra URL public, seed data/model artifact, demo subset CERT, backup fallback data</t>
  </si>
  <si>
    <t>Live URL</t>
  </si>
  <si>
    <t>Không chấp nhận localhost-only</t>
  </si>
  <si>
    <t>T-027</t>
  </si>
  <si>
    <t>Slide/kịch bản demo cuối kỳ</t>
  </si>
  <si>
    <t>Storyline why/who, kiến trúc, demo flow, kết quả model, limitations, next steps</t>
  </si>
  <si>
    <t>presentation/</t>
  </si>
  <si>
    <t>Tập demo trước khi nộp</t>
  </si>
  <si>
    <t>ĐẶC TẢ TÍNH NĂNG / FEATURE SPECIFICATION</t>
  </si>
  <si>
    <t>ĐẶC TẢ #1</t>
  </si>
  <si>
    <t>Mã User Story liên quan</t>
  </si>
  <si>
    <t>US-07, US-08, US-11, US-12, US-13</t>
  </si>
  <si>
    <t>Tên tính năng</t>
  </si>
  <si>
    <t>CERT r4.2 → Feature Window → Anomaly/Risk → Alert</t>
  </si>
  <si>
    <t>Người viết</t>
  </si>
  <si>
    <t>Ngày tạo</t>
  </si>
  <si>
    <t>Ngày cập nhật gần nhất</t>
  </si>
  <si>
    <t>1. ĐỘNG LÝ (MOTIVATION)</t>
  </si>
  <si>
    <t>Vấn đề cần giải quyết</t>
  </si>
  <si>
    <t>Log phân mảnh, không có baseline hành vi bình thường, analyst quá tải khi phải tự ghép log thủ công.</t>
  </si>
  <si>
    <t>Người dùng mục tiêu</t>
  </si>
  <si>
    <t>Data/ML Engineer, Security Analyst, Admin.</t>
  </si>
  <si>
    <t>Mục tiêu kỳ vọng</t>
  </si>
  <si>
    <t>Import/normalize được CERT r4.2, build feature matrix, train iForest, risk score 0-100, tạo alert khi risk&gt;=60.</t>
  </si>
  <si>
    <t>Phương án thay thế đã xem xét</t>
  </si>
  <si>
    <t>Rule-based chỉ dùng guardrail/fallback; ML anomaly detection là lõi để bám đề bài.</t>
  </si>
  <si>
    <t>2. THIẾT KẾ (DESIGN)</t>
  </si>
  <si>
    <t>Kiến trúc hệ thống</t>
  </si>
  <si>
    <t>Raw CERT CSV → normalize endpoint events → aggregate user/device/day → train/infer → risk scoring → alerts DB → dashboard.</t>
  </si>
  <si>
    <t>Thiết kế API</t>
  </si>
  <si>
    <t>POST /api/datasets/cert-r42/import, POST /api/features/build, POST /api/models/train, POST /api/models/{version}/infer, GET/PATCH /api/alerts.</t>
  </si>
  <si>
    <t>Mô hình dữ liệu</t>
  </si>
  <si>
    <t>event_logs, feature_windows, model_artifacts, alerts; lưu source_file/source_id để truy vết về dòng CSV gốc.</t>
  </si>
  <si>
    <t>Thiết kế AI/ML</t>
  </si>
  <si>
    <t>Isolation Forest baseline chính; output anomaly_score, risk_score, severity, top_anomalous_features; report metrics trong eval/results.</t>
  </si>
  <si>
    <t>Trường hợp đặc biệt và Xử lý lỗi</t>
  </si>
  <si>
    <t>File CERT lớn/dirty → chunk processing, import error report; thiếu labels → dùng known scenario windows và analyst review.</t>
  </si>
  <si>
    <t>Bảo mật và Quyền riêng tư</t>
  </si>
  <si>
    <t>Không hiển thị dữ liệu quá nhạy cảm; chỉ metadata bảo mật; role-based access cho dashboard/log/alert.</t>
  </si>
  <si>
    <t>3. KẾ HOẠCH (PLAN)</t>
  </si>
  <si>
    <t>Các bước thực hiện</t>
  </si>
  <si>
    <t>W3 importer + features; W4 train/infer/risk/alert; W5 evaluation/tuning; W6 freeze artifact và report.</t>
  </si>
  <si>
    <t>Công việc con (liên kết Backlog)</t>
  </si>
  <si>
    <t>T-009, T-010, T-013, T-014, T-015, T-020</t>
  </si>
  <si>
    <t>Phụ thuộc</t>
  </si>
  <si>
    <t>Data contract, DB schema, API routes, artifact path.</t>
  </si>
  <si>
    <t>Timeline dự kiến</t>
  </si>
  <si>
    <t>13/06/2026 → 06/07/2026</t>
  </si>
  <si>
    <t>Kế hoạch kiểm thử</t>
  </si>
  <si>
    <t>Unit test feature builder; smoke test train/infer; verify alert risk&gt;=60; compare known scenario windows.</t>
  </si>
  <si>
    <t>Tiêu chí thành công</t>
  </si>
  <si>
    <t>Inference tạo alert có score, severity, top features và model_version; dashboard đọc được alert.</t>
  </si>
  <si>
    <t>Rủi ro và Cách giảm thiểu</t>
  </si>
  <si>
    <t>Dataset lớn/false positives → dùng subset demo, threshold tuning, rule guardrail.</t>
  </si>
  <si>
    <t>────────────────────────────────────────────────────────────────────────────────</t>
  </si>
  <si>
    <t>ĐẶC TẢ #2</t>
  </si>
  <si>
    <t>US-01, US-02, US-03, US-05, US-10, US-14, US-15, US-16</t>
  </si>
  <si>
    <t>Analyst Dashboard + Alert Detail + LLM/Rule-based Explanation</t>
  </si>
  <si>
    <t>Alert thô chỉ có số liệu khiến analyst mất thời gian hiểu vì sao bất thường và phải tự ghép timeline.</t>
  </si>
  <si>
    <t>Admin, SOC/Security Analyst.</t>
  </si>
  <si>
    <t>Dashboard có login, overview, users/devices/logs/alerts, alert detail có timeline, risk factors và explanation dễ hiểu.</t>
  </si>
  <si>
    <t>Nếu không có LLM API key, dùng template/rule-based explanation để đảm bảo demo không bị phụ thuộc provider.</t>
  </si>
  <si>
    <t>Frontend gọi API backend; alert detail nhận context từ DB/model; LLM/fallback sinh explanation từ anomaly context.</t>
  </si>
  <si>
    <t>Thiết kế giao diện (UI/UX)</t>
  </si>
  <si>
    <t>Login → Overview → Alerts → Alert Detail/Timeline → đổi status investigating/resolved/false_positive.</t>
  </si>
  <si>
    <t>GET /api/dashboard/*, GET /api/alerts, GET /api/alerts/{id}, PATCH /api/alerts/{id}/status, GET /api/users/{id}/logs.</t>
  </si>
  <si>
    <t>alerts lưu explanation, risk_factors, top_anomalous_features, model_version; event_logs phục vụ timeline.</t>
  </si>
  <si>
    <t>LLM không quyết định anomaly; chỉ diễn giải output ML và context theo format ngắn gọn cho analyst.</t>
  </si>
  <si>
    <t>LLM lỗi/rate limit → fallback; thiếu timeline → hiển thị empty state; token hết hạn → quay về login.</t>
  </si>
  <si>
    <t>JWT/RBAC, chỉ admin/analyst xem alert; UI có privacy note: chỉ metadata trên thiết bị công ty.</t>
  </si>
  <si>
    <t>W3 UI shell/login/pages; W4 alert detail + explanation; W5 polish/e2e; W6 docs/demo.</t>
  </si>
  <si>
    <t>T-011, T-012, T-017, T-018, T-019, T-022, T-025, T-027</t>
  </si>
  <si>
    <t>Auth/API, alert service, LLM/fallback service, dashboard endpoints.</t>
  </si>
  <si>
    <t>Login smoke test, protected route test, click alert detail, status update, explanation fallback test.</t>
  </si>
  <si>
    <t>Mentor mở public URL, login demo, xem high/critical alert, đọc explanation/timeline, đổi trạng thái alert.</t>
  </si>
  <si>
    <t>UI/API không đồng bộ → API contract examples, mock responses, daily integration.</t>
  </si>
  <si>
    <t>THEO DÕI LỖI / RỦI RO (BUG &amp; RISK TRACKING)</t>
  </si>
  <si>
    <t>Cập nhật liên tục trong 4 tuần còn lại; các mục dưới là rủi ro dự án cần theo dõi trước khi thành bug thật</t>
  </si>
  <si>
    <t>Mã lỗi/rủi ro</t>
  </si>
  <si>
    <t>Tiêu đề</t>
  </si>
  <si>
    <t>Cách tái hiện / Dấu hiệu</t>
  </si>
  <si>
    <t>Mức nghiêm trọng</t>
  </si>
  <si>
    <t>Người xử lý</t>
  </si>
  <si>
    <t>Ngày phát hiện</t>
  </si>
  <si>
    <t>Ngày sửa / Ghi chú</t>
  </si>
  <si>
    <t>RISK-001</t>
  </si>
  <si>
    <t>CERT r4.2 quá lớn khi import/deploy</t>
  </si>
  <si>
    <t>http/email/file có thể rất lớn, gây timeout hoặc memory cao</t>
  </si>
  <si>
    <t>Import full dataset chậm hoặc crash</t>
  </si>
  <si>
    <t>Cao</t>
  </si>
  <si>
    <t>Mở</t>
  </si>
  <si>
    <t>Mitigation: subset thời gian, chunk processing, summary job</t>
  </si>
  <si>
    <t>RISK-002</t>
  </si>
  <si>
    <t>LLM API key thiếu hoặc lỗi rate limit</t>
  </si>
  <si>
    <t>Explanation không được phụ thuộc bắt buộc vào provider</t>
  </si>
  <si>
    <t>Tắt API key vẫn phải có explanation</t>
  </si>
  <si>
    <t>Trung bình</t>
  </si>
  <si>
    <t>Mitigation: rule-based/template fallback</t>
  </si>
  <si>
    <t>RISK-003</t>
  </si>
  <si>
    <t>Backend/frontend lệch contract</t>
  </si>
  <si>
    <t>UI cần dữ liệu dashboard/alert nhưng API schema thay đổi</t>
  </si>
  <si>
    <t>Frontend lỗi khi gọi API hoặc thiếu field</t>
  </si>
  <si>
    <t>Mitigation: docs API example + mock response + daily integration</t>
  </si>
  <si>
    <t>RISK-004</t>
  </si>
  <si>
    <t>Model false positive cao</t>
  </si>
  <si>
    <t>Anomaly detection không có ground truth đầy đủ, dễ khó giải thích</t>
  </si>
  <si>
    <t>High alert quá nhiều hoặc không trúng known scenarios</t>
  </si>
  <si>
    <t>Mitigation: threshold tuning, top features, rule guardrail</t>
  </si>
  <si>
    <t>RISK-005</t>
  </si>
  <si>
    <t>Deploy không có persistence</t>
  </si>
  <si>
    <t>SQLite/artifacts mất sau restart nếu deploy sai</t>
  </si>
  <si>
    <t>Reload app mất alert/model/user seed</t>
  </si>
  <si>
    <t>Mitigation: persistent disk/Postgres/seed backup</t>
  </si>
  <si>
    <t>RISK-006</t>
  </si>
  <si>
    <t>Không đủ thời gian hoàn thiện UI/UX</t>
  </si>
  <si>
    <t>Dashboard nhiều trang, dễ thiếu trạng thái empty/loading/error</t>
  </si>
  <si>
    <t>Demo trải nghiệm rời rạc</t>
  </si>
  <si>
    <t>Mitigation: ưu tiên flow chính alerts, giảm scope phụ</t>
  </si>
  <si>
    <t>THANG MỨC NGHIÊM TRỌNG</t>
  </si>
  <si>
    <t>Nghiêm trọng</t>
  </si>
  <si>
    <t>Ứng dụng sập hoặc mất dữ liệu — Không thể sử dụng được</t>
  </si>
  <si>
    <t>Tính năng chính không hoạt động đúng, ảnh hưởng demo hoặc nhiều người dùng</t>
  </si>
  <si>
    <t>Tính năng phụ bị lỗi, trải nghiệm không tốt nhưng vẫn dùng được</t>
  </si>
  <si>
    <t>Thấp</t>
  </si>
  <si>
    <t>Lỗi nhỏ, liên quan giao diện, không ảnh hưởng chức năng</t>
  </si>
  <si>
    <t>Tên tài liệu</t>
  </si>
  <si>
    <t>W1-W6</t>
  </si>
  <si>
    <t>Schema normalized endpoint event, CERT mapping, feature artifacts</t>
  </si>
  <si>
    <t>docs/REPO_STRUCTURE_STANDARD.md</t>
  </si>
  <si>
    <t>eval/results/</t>
  </si>
  <si>
    <t>W5-W6</t>
  </si>
  <si>
    <t>KẾ HOẠCH 4 TUẦN CÒN LẠI — AI20K-107 UEBA</t>
  </si>
  <si>
    <t>Phác thảo trước khi điền backlog: mục tiêu là MVP web/app hoàn chỉnh, có auth/RBAC, dashboard, ML anomaly detection, LLM/fallback explanation và deploy URL.</t>
  </si>
  <si>
    <t>Ngày</t>
  </si>
  <si>
    <t>Mục tiêu chính</t>
  </si>
  <si>
    <t>Mai Ngọc Duy — Data/ML</t>
  </si>
  <si>
    <t>Bùi Hoàng Linh — Backend/DevOps</t>
  </si>
  <si>
    <t>Hoàng Trung Quân — Frontend/LLM/Product</t>
  </si>
  <si>
    <t>Deliverable kiểm chứng</t>
  </si>
  <si>
    <t>Mốc</t>
  </si>
  <si>
    <t>Rủi ro chính</t>
  </si>
  <si>
    <t>Cách giảm rủi ro</t>
  </si>
  <si>
    <t>Done khi</t>
  </si>
  <si>
    <t>13/06–19/06</t>
  </si>
  <si>
    <t>Dựng MVP nền chạy được</t>
  </si>
  <si>
    <t>CERT importer, feature builder, data quality report</t>
  </si>
  <si>
    <t>DB schema, auth/RBAC, APIs users/devices/logs</t>
  </si>
  <si>
    <t>UI shell, login, users/devices/logs pages</t>
  </si>
  <si>
    <t>Đăng nhập được, import subset tạo event/feature, UI gọi API</t>
  </si>
  <si>
    <t>Dataset lớn, API/UI lệch contract</t>
  </si>
  <si>
    <t>Chốt schema sớm, dùng subset demo, daily integration</t>
  </si>
  <si>
    <t>Demo local E2E phần nền</t>
  </si>
  <si>
    <t>20/06–26/06</t>
  </si>
  <si>
    <t>Hoàn thiện anomaly engine và alert loop</t>
  </si>
  <si>
    <t>Train iForest, inference, risk 0-100, top features</t>
  </si>
  <si>
    <t>Alert service, status API, dashboard summary endpoints</t>
  </si>
  <si>
    <t>LLM/fallback explanation, alerts page/detail/timeline UI</t>
  </si>
  <si>
    <t>Chạy inference tạo alert risk&gt;=60 có explanation</t>
  </si>
  <si>
    <t>Model nhiều false positive, thiếu API key LLM</t>
  </si>
  <si>
    <t>Tuning threshold, fallback rule-based</t>
  </si>
  <si>
    <t>Alert detail hiển thị đủ score/features/timeline</t>
  </si>
  <si>
    <t>27/06–03/07</t>
  </si>
  <si>
    <t>Tích hợp end-to-end + QA + deploy staging</t>
  </si>
  <si>
    <t>Evaluate known scenarios, metrics/report, demo subset</t>
  </si>
  <si>
    <t>Tests, Docker, deploy backend/staging DB</t>
  </si>
  <si>
    <t>UI polish, privacy note, demo walkthrough</t>
  </si>
  <si>
    <t>Flow import→train→infer→alert→explanation chạy từ UI</t>
  </si>
  <si>
    <t>Deploy lỗi, dữ liệu/artifact không persistent</t>
  </si>
  <si>
    <t>Docker, .env.example, backup seed/artifact</t>
  </si>
  <si>
    <t>Staging URL truy cập được</t>
  </si>
  <si>
    <t>04/07–06/07</t>
  </si>
  <si>
    <t>Khóa scope, fix bug, bàn giao final</t>
  </si>
  <si>
    <t>Cố định model artifact, metrics cuối, hỗ trợ bug bash</t>
  </si>
  <si>
    <t>Chốt public URL, smoke test, deploy fallback</t>
  </si>
  <si>
    <t>README, slide/demo script, kiểm tra UX cuối</t>
  </si>
  <si>
    <t>Public URL + README + final demo + presentation</t>
  </si>
  <si>
    <t>Demo fail do live URL/API/key</t>
  </si>
  <si>
    <t>Checklist trước demo, fallback offline/seed data</t>
  </si>
  <si>
    <t>Mentor có thể mở URL và xem demo loop</t>
  </si>
  <si>
    <t>Nguyên tắc phân công</t>
  </si>
  <si>
    <t>Owner rõ ràng; mỗi task có backup; ưu tiên P0 trước; không thêm scope mới sau W5; mọi alert phải có explanation fallback.</t>
  </si>
  <si>
    <t>Checklist MVP bắt buộc</t>
  </si>
  <si>
    <t>Web/app deployed online</t>
  </si>
  <si>
    <t>Login &amp; phân quyền</t>
  </si>
  <si>
    <t>Dashboard users/devices/logs/alerts</t>
  </si>
  <si>
    <t>CERT import + normalized events</t>
  </si>
  <si>
    <t>Feature engineering + iForest</t>
  </si>
  <si>
    <t>Risk score 0-100 + severity</t>
  </si>
  <si>
    <t>Alert detail + timeline</t>
  </si>
  <si>
    <t>LLM/fallback explanation</t>
  </si>
  <si>
    <t>README + demo script</t>
  </si>
  <si>
    <t>Privacy note</t>
  </si>
  <si>
    <t>Sum</t>
  </si>
  <si>
    <t>Average</t>
  </si>
  <si>
    <t>Running Total</t>
  </si>
  <si>
    <t>Count</t>
  </si>
  <si>
    <t xml:space="preserve">Phân vai theo dự án AI20K-107 UEBA </t>
  </si>
  <si>
    <t>Tập trung MVP web/app có deploy URL</t>
  </si>
  <si>
    <t>AI20K-107 UEBA: hoàn thiện MVP web/app, anomaly detection, LLM explanation và deploy URL</t>
  </si>
  <si>
    <t xml:space="preserve">Sprint 1: W1 — Hoàn thành nền tảng sản phẩm </t>
  </si>
  <si>
    <t>Sprint 2: W2 — Chuẩn bị data/API/ML scaffold</t>
  </si>
  <si>
    <t>Hai đặc tả trọng tâm: Data/ML pipeline và Analyst dashboard + explanation</t>
  </si>
  <si>
    <t>Mã nguồn và Triển khai</t>
  </si>
  <si>
    <t>Liên lạc và Hợp tác</t>
  </si>
  <si>
    <t>Kênh Discord nhóm</t>
  </si>
  <si>
    <t>Phân loại</t>
  </si>
  <si>
    <t>Nội dung / Mô tả</t>
  </si>
  <si>
    <t>Địa chỉ (URL)</t>
  </si>
  <si>
    <t>Người quản lý</t>
  </si>
  <si>
    <t>Đối tác (Stakeholder)</t>
  </si>
  <si>
    <t>Mai Ngọc Duy + Bùi Hoàng Linh</t>
  </si>
  <si>
    <t>Mai Ngọc Duy + Hoàng Trung Quân</t>
  </si>
  <si>
    <t>Bùi Hoàng Linh + Mai Ngọc Duy</t>
  </si>
  <si>
    <t xml:space="preserve">Hoàng Trung Quân + Bùi Hoàng Linh </t>
  </si>
  <si>
    <t>Hoàng Trung Quân + Mai Ngọc Duy</t>
  </si>
  <si>
    <t>Bùi Hoàng Linh + Hoàng Trung Quân</t>
  </si>
  <si>
    <t>Người tạo</t>
  </si>
  <si>
    <t>Cập nhật lần cuối</t>
  </si>
  <si>
    <t>DANH SÁCH TÀI LIỆU QUAN TRỌNG</t>
  </si>
  <si>
    <t>Tập hợp link tới mọi tài liệu dự án — Cập nhật ngay khi có tài liệu mới</t>
  </si>
  <si>
    <t>Quy trình và Hướng dẫn</t>
  </si>
  <si>
    <t>Product Brief / Why-Who</t>
  </si>
  <si>
    <t>Bối cảnh, pain points, đối tượng sử dụng, scope MVP, privacy note</t>
  </si>
  <si>
    <t>PRD / Product Requirements</t>
  </si>
  <si>
    <t>User stories, acceptance criteria, demo flow, API/pages, tiêu chí hoàn thành</t>
  </si>
  <si>
    <t>Lộ trình 6 tuần chi tiết</t>
  </si>
  <si>
    <t>Kế hoạch từ W1 đến W6, trong đó W3-W6 là 4 tuần còn lại</t>
  </si>
  <si>
    <t>Đang cập nhật</t>
  </si>
  <si>
    <t>Thiết kế và Đặc tả</t>
  </si>
  <si>
    <t>Sơ đồ kiến trúc hệ thống</t>
  </si>
  <si>
    <t>Luồng Endpoint/CERT logs → ML pipeline → FastAPI → Dashboard</t>
  </si>
  <si>
    <t>docs/architecture_diagram.md</t>
  </si>
  <si>
    <t>Tài liệu kiến trúc</t>
  </si>
  <si>
    <t>Module boundaries: src/api, src/models, src/services, src/agents, artifacts, data</t>
  </si>
  <si>
    <t>Data Contract</t>
  </si>
  <si>
    <t>Repo Structure Standard</t>
  </si>
  <si>
    <t>Quy tắc cấu trúc repo theo AI20K starter-code-template</t>
  </si>
  <si>
    <t>Tài liệu API / Swagger / Postman</t>
  </si>
  <si>
    <t>Danh sách endpoint auth, users, devices, logs, dataset, models, alerts, dashboard</t>
  </si>
  <si>
    <t>Báo cáo và Biên bản họp</t>
  </si>
  <si>
    <t>Biên bản họp nội bộ</t>
  </si>
  <si>
    <t>Quyết định phân công, blockers, mốc tích hợp từng tuần</t>
  </si>
  <si>
    <t>W3-W6</t>
  </si>
  <si>
    <t>Cần cập nhật</t>
  </si>
  <si>
    <t>WORKLOG.md</t>
  </si>
  <si>
    <t>Nhật ký công việc theo ngày/tuần, PR liên quan, trạng thái hoàn thành</t>
  </si>
  <si>
    <t>JOURNAL.md</t>
  </si>
  <si>
    <t>Ghi chú quá trình phát triển, quyết định kỹ thuật, bài học</t>
  </si>
  <si>
    <t>Báo cáo đánh giá model</t>
  </si>
  <si>
    <t>Metrics, known scenario detection, threshold tuning, false positive review</t>
  </si>
  <si>
    <t>Triển khai và Kiểm thử</t>
  </si>
  <si>
    <t>Hướng dẫn chạy backend/frontend/agent/import/train/infer/deploy và tài khoản demo</t>
  </si>
  <si>
    <t>Hướng dẫn triển khai</t>
  </si>
  <si>
    <t>Docker/.env/deploy backend + frontend + DB/artifacts; URL public</t>
  </si>
  <si>
    <t>docs/DEPLOYMENT.md</t>
  </si>
  <si>
    <t>Test cases auth/API/UI/ML/alert/status update; kết quả bug bash</t>
  </si>
  <si>
    <t>tests/ / eval/results/</t>
  </si>
  <si>
    <t>Flow đăng nhập → import → train → infer → alert detail → đổi status</t>
  </si>
  <si>
    <t>Bàn giao cuối kỳ</t>
  </si>
  <si>
    <t>Why/Who, kiến trúc, demo flow, kết quả model, privacy, limitations, next steps</t>
  </si>
  <si>
    <t>Live URL sản phẩm</t>
  </si>
  <si>
    <t>URL dashboard/API public; không chỉ localhost</t>
  </si>
  <si>
    <t>[Dán live URL W5-W6]</t>
  </si>
  <si>
    <t>GitHub repository</t>
  </si>
  <si>
    <t>Source code, issue/PR, README, release/tag demo</t>
  </si>
  <si>
    <t>Video/ảnh minh chứng demo</t>
  </si>
  <si>
    <t>Ảnh chụp dashboard, alert detail, model metrics, deployment</t>
  </si>
  <si>
    <t>Cần bổ sung</t>
  </si>
  <si>
    <t>US-17</t>
  </si>
  <si>
    <t>Deploy online có URL</t>
  </si>
  <si>
    <t>Triển khai frontend/backend/database/artifacts lên public URL</t>
  </si>
  <si>
    <t>Admin/Stakeholder</t>
  </si>
  <si>
    <t>truy cập sản phẩm online</t>
  </si>
  <si>
    <t>đáp ứng yêu cầu không chỉ chạy localhost</t>
  </si>
  <si>
    <t>Spec Deploy</t>
  </si>
  <si>
    <t>US-18</t>
  </si>
  <si>
    <t>README, demo script và bàn giao</t>
  </si>
  <si>
    <t>Tài khoản demo, hướng dẫn chạy/import/train/infer/deploy, privacy note</t>
  </si>
  <si>
    <t>Team/Stakeholder</t>
  </si>
  <si>
    <t>có tài liệu bàn giao</t>
  </si>
  <si>
    <t>demo cuối kỳ mạch lạc và kiểm chứng được</t>
  </si>
  <si>
    <t>Spec README/Demo</t>
  </si>
  <si>
    <t>UEBA Endpoint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</si>
</sst>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m"/>
  </numFmts>
  <fonts count="37" x14ac:knownFonts="1">
    <font>
      <sz val="11"/>
      <color theme="1"/>
      <name val="Calibri"/>
    </font>
    <font>
      <b/>
      <sz val="16"/>
      <color rgb="FF1F4E79"/>
      <name val="Arial"/>
    </font>
    <font>
      <sz val="11"/>
      <color rgb="FF595959"/>
      <name val="Arial"/>
    </font>
    <font>
      <b/>
      <sz val="11"/>
      <color theme="1"/>
      <name val="Arial"/>
    </font>
    <font>
      <sz val="11"/>
      <color theme="1"/>
      <name val="Arial"/>
    </font>
    <font>
      <sz val="11"/>
      <name val="Calibri"/>
    </font>
    <font>
      <b/>
      <sz val="14"/>
      <color rgb="FF1F4E79"/>
      <name val="Arial"/>
    </font>
    <font>
      <b/>
      <sz val="11"/>
      <color rgb="FFFFFFFF"/>
      <name val="Arial"/>
    </font>
    <font>
      <b/>
      <sz val="13"/>
      <color rgb="FF1F4E79"/>
      <name val="Arial"/>
    </font>
    <font>
      <b/>
      <sz val="16"/>
      <color rgb="FF1F4E78"/>
      <name val="Arial"/>
    </font>
    <font>
      <b/>
      <sz val="16"/>
      <color rgb="FF1F4E78"/>
      <name val="Calibri"/>
    </font>
    <font>
      <i/>
      <sz val="11"/>
      <color rgb="FF666666"/>
      <name val="Arial"/>
    </font>
    <font>
      <i/>
      <sz val="11"/>
      <color rgb="FF666666"/>
      <name val="Calibri"/>
    </font>
    <font>
      <b/>
      <sz val="11"/>
      <color theme="1"/>
      <name val="Calibri"/>
    </font>
    <font>
      <b/>
      <sz val="11"/>
      <color rgb="FFFFFFFF"/>
      <name val="Calibri"/>
    </font>
    <font>
      <sz val="11"/>
      <color theme="1"/>
      <name val="Calibri"/>
      <family val="2"/>
    </font>
    <font>
      <b/>
      <sz val="11"/>
      <color theme="1"/>
      <name val="Calibri"/>
      <family val="2"/>
    </font>
    <font>
      <sz val="11"/>
      <color theme="1"/>
      <name val="Arial"/>
      <family val="2"/>
    </font>
    <font>
      <b/>
      <sz val="11"/>
      <color theme="1"/>
      <name val="Arial"/>
      <family val="2"/>
    </font>
    <font>
      <sz val="8"/>
      <name val="Calibri"/>
      <family val="2"/>
    </font>
    <font>
      <i/>
      <sz val="11"/>
      <color theme="1"/>
      <name val="Arial"/>
      <family val="2"/>
    </font>
    <font>
      <b/>
      <sz val="11"/>
      <color rgb="FFFFFFFF"/>
      <name val="Arial"/>
      <family val="2"/>
    </font>
    <font>
      <sz val="11"/>
      <name val="Arial"/>
      <family val="2"/>
    </font>
    <font>
      <i/>
      <sz val="11"/>
      <color rgb="FF999999"/>
      <name val="Arial"/>
      <family val="2"/>
    </font>
    <font>
      <b/>
      <sz val="16"/>
      <color rgb="FF1F4E78"/>
      <name val="Arial"/>
      <family val="2"/>
    </font>
    <font>
      <i/>
      <sz val="11"/>
      <color rgb="FF666666"/>
      <name val="Arial"/>
      <family val="2"/>
    </font>
    <font>
      <b/>
      <sz val="11"/>
      <name val="Arial"/>
      <family val="2"/>
    </font>
    <font>
      <b/>
      <sz val="16"/>
      <color theme="1"/>
      <name val="Arial"/>
      <family val="2"/>
    </font>
    <font>
      <b/>
      <sz val="11"/>
      <color theme="0"/>
      <name val="Arial"/>
      <family val="2"/>
    </font>
    <font>
      <sz val="11"/>
      <color theme="0"/>
      <name val="Arial"/>
      <family val="2"/>
    </font>
    <font>
      <sz val="11"/>
      <name val="Calibri"/>
      <family val="2"/>
    </font>
    <font>
      <i/>
      <sz val="11"/>
      <name val="Arial"/>
      <family val="2"/>
    </font>
    <font>
      <b/>
      <sz val="11"/>
      <color rgb="FF002060"/>
      <name val="Arial"/>
      <family val="2"/>
    </font>
    <font>
      <b/>
      <sz val="13"/>
      <color rgb="FF1F4E79"/>
      <name val="Arial"/>
      <family val="2"/>
    </font>
    <font>
      <b/>
      <sz val="12"/>
      <color rgb="FF1F4E79"/>
      <name val="Arial"/>
      <family val="2"/>
    </font>
    <font>
      <sz val="11"/>
      <color rgb="FF002060"/>
      <name val="Arial"/>
      <family val="2"/>
    </font>
    <font>
      <b/>
      <sz val="11"/>
      <color rgb="FF000000"/>
      <name val="Arial"/>
      <family val="2"/>
    </font>
  </fonts>
  <fills count="29">
    <fill>
      <patternFill patternType="none"/>
    </fill>
    <fill>
      <patternFill patternType="gray125"/>
    </fill>
    <fill>
      <patternFill patternType="solid">
        <fgColor rgb="FFFFF2CC"/>
      </patternFill>
    </fill>
    <fill>
      <patternFill patternType="solid">
        <fgColor rgb="FFD6E4F0"/>
      </patternFill>
    </fill>
    <fill>
      <patternFill patternType="solid">
        <fgColor rgb="FF1F4E79"/>
      </patternFill>
    </fill>
    <fill>
      <patternFill patternType="solid">
        <fgColor rgb="FFF2F7FB"/>
      </patternFill>
    </fill>
    <fill>
      <patternFill patternType="solid">
        <fgColor rgb="FFFFEB9C"/>
      </patternFill>
    </fill>
    <fill>
      <patternFill patternType="solid">
        <fgColor rgb="FFC6EFCE"/>
      </patternFill>
    </fill>
    <fill>
      <patternFill patternType="solid">
        <fgColor rgb="FF1F4E78"/>
      </patternFill>
    </fill>
    <fill>
      <patternFill patternType="solid">
        <fgColor rgb="FFD9EAF7"/>
      </patternFill>
    </fill>
    <fill>
      <patternFill patternType="solid">
        <fgColor rgb="FFF2F2F2"/>
      </patternFill>
    </fill>
    <fill>
      <patternFill patternType="solid">
        <fgColor rgb="FFC6EFCE"/>
        <bgColor indexed="64"/>
      </patternFill>
    </fill>
    <fill>
      <patternFill patternType="solid">
        <fgColor rgb="FFFFEB9C"/>
        <bgColor indexed="64"/>
      </patternFill>
    </fill>
    <fill>
      <patternFill patternType="solid">
        <fgColor theme="8" tint="0.79998168889431442"/>
        <bgColor indexed="64"/>
      </patternFill>
    </fill>
    <fill>
      <patternFill patternType="solid">
        <fgColor rgb="FFFFC7CE"/>
        <bgColor indexed="64"/>
      </patternFill>
    </fill>
    <fill>
      <patternFill patternType="solid">
        <fgColor rgb="FFF2F7FB"/>
        <bgColor rgb="FF000000"/>
      </patternFill>
    </fill>
    <fill>
      <patternFill patternType="solid">
        <fgColor rgb="FFFF0000"/>
        <bgColor indexed="64"/>
      </patternFill>
    </fill>
    <fill>
      <patternFill patternType="solid">
        <fgColor rgb="FFFF6600"/>
        <bgColor indexed="64"/>
      </patternFill>
    </fill>
    <fill>
      <patternFill patternType="solid">
        <fgColor rgb="FFFFD700"/>
        <bgColor indexed="64"/>
      </patternFill>
    </fill>
    <fill>
      <patternFill patternType="solid">
        <fgColor rgb="FF90EE90"/>
        <bgColor indexed="64"/>
      </patternFill>
    </fill>
    <fill>
      <patternFill patternType="solid">
        <fgColor rgb="FF1F4E79"/>
        <bgColor indexed="64"/>
      </patternFill>
    </fill>
    <fill>
      <patternFill patternType="solid">
        <fgColor rgb="FF1F4E78"/>
        <bgColor rgb="FF000000"/>
      </patternFill>
    </fill>
    <fill>
      <patternFill patternType="solid">
        <fgColor rgb="FFE2F0D9"/>
      </patternFill>
    </fill>
    <fill>
      <patternFill patternType="solid">
        <fgColor rgb="FFDDEBF7"/>
      </patternFill>
    </fill>
    <fill>
      <patternFill patternType="solid">
        <fgColor rgb="FFFCE4D6"/>
      </patternFill>
    </fill>
    <fill>
      <patternFill patternType="solid">
        <fgColor rgb="FFEADCF8"/>
      </patternFill>
    </fill>
    <fill>
      <patternFill patternType="solid">
        <fgColor rgb="FFD9EAD3"/>
      </patternFill>
    </fill>
    <fill>
      <patternFill patternType="solid">
        <fgColor rgb="FFFFFFFF"/>
      </patternFill>
    </fill>
    <fill>
      <patternFill patternType="solid">
        <fgColor rgb="FFEAF2F8"/>
      </patternFill>
    </fill>
  </fills>
  <borders count="17">
    <border>
      <left/>
      <right/>
      <top/>
      <bottom/>
      <diagonal/>
    </border>
    <border>
      <left style="thin">
        <color rgb="FFB4C6E7"/>
      </left>
      <right style="thin">
        <color rgb="FFB4C6E7"/>
      </right>
      <top style="thin">
        <color rgb="FFB4C6E7"/>
      </top>
      <bottom style="thin">
        <color rgb="FFB4C6E7"/>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right/>
      <top/>
      <bottom/>
      <diagonal/>
    </border>
    <border>
      <left style="thin">
        <color indexed="64"/>
      </left>
      <right style="thin">
        <color indexed="64"/>
      </right>
      <top style="thin">
        <color indexed="64"/>
      </top>
      <bottom style="thin">
        <color indexed="64"/>
      </bottom>
      <diagonal/>
    </border>
    <border>
      <left/>
      <right/>
      <top style="thin">
        <color rgb="FFB4C6E7"/>
      </top>
      <bottom/>
      <diagonal/>
    </border>
    <border>
      <left style="medium">
        <color rgb="FFCCCCCC"/>
      </left>
      <right style="medium">
        <color rgb="FFCCCCCC"/>
      </right>
      <top style="medium">
        <color rgb="FFCCCCCC"/>
      </top>
      <bottom style="medium">
        <color rgb="FFCCCCCC"/>
      </bottom>
      <diagonal/>
    </border>
    <border>
      <left style="medium">
        <color rgb="FFB4C6E7"/>
      </left>
      <right style="medium">
        <color rgb="FFB4C6E7"/>
      </right>
      <top style="medium">
        <color rgb="FFB4C6E7"/>
      </top>
      <bottom style="medium">
        <color rgb="FFB4C6E7"/>
      </bottom>
      <diagonal/>
    </border>
    <border>
      <left style="medium">
        <color rgb="FFCCCCCC"/>
      </left>
      <right style="medium">
        <color rgb="FFB4C6E7"/>
      </right>
      <top style="medium">
        <color rgb="FFB4C6E7"/>
      </top>
      <bottom style="medium">
        <color rgb="FFB4C6E7"/>
      </bottom>
      <diagonal/>
    </border>
    <border>
      <left style="thin">
        <color rgb="FFB4C6E7"/>
      </left>
      <right/>
      <top style="thin">
        <color rgb="FFB4C6E7"/>
      </top>
      <bottom/>
      <diagonal/>
    </border>
    <border>
      <left/>
      <right style="thin">
        <color rgb="FFB4C6E7"/>
      </right>
      <top style="thin">
        <color rgb="FFB4C6E7"/>
      </top>
      <bottom/>
      <diagonal/>
    </border>
    <border>
      <left style="thin">
        <color rgb="FFB4C6E7"/>
      </left>
      <right/>
      <top/>
      <bottom style="thin">
        <color rgb="FFB4C6E7"/>
      </bottom>
      <diagonal/>
    </border>
    <border>
      <left/>
      <right/>
      <top/>
      <bottom style="thin">
        <color rgb="FFB4C6E7"/>
      </bottom>
      <diagonal/>
    </border>
    <border>
      <left/>
      <right style="thin">
        <color rgb="FFB4C6E7"/>
      </right>
      <top/>
      <bottom style="thin">
        <color rgb="FFB4C6E7"/>
      </bottom>
      <diagonal/>
    </border>
    <border>
      <left style="thin">
        <color rgb="FFB4C6E7"/>
      </left>
      <right style="thin">
        <color rgb="FFB4C6E7"/>
      </right>
      <top/>
      <bottom style="thin">
        <color rgb="FFB4C6E7"/>
      </bottom>
      <diagonal/>
    </border>
  </borders>
  <cellStyleXfs count="2">
    <xf numFmtId="0" fontId="0" fillId="0" borderId="0"/>
    <xf numFmtId="0" fontId="15" fillId="0" borderId="5"/>
  </cellStyleXfs>
  <cellXfs count="191">
    <xf numFmtId="0" fontId="0" fillId="0" borderId="0" xfId="0"/>
    <xf numFmtId="0" fontId="3" fillId="5" borderId="1" xfId="0" applyFont="1" applyFill="1" applyBorder="1" applyAlignment="1">
      <alignment vertical="top" wrapText="1"/>
    </xf>
    <xf numFmtId="0" fontId="10" fillId="0" borderId="0" xfId="0" applyFont="1" applyAlignment="1">
      <alignment wrapText="1"/>
    </xf>
    <xf numFmtId="0" fontId="12" fillId="0" borderId="0" xfId="0" applyFont="1" applyAlignment="1">
      <alignment wrapText="1"/>
    </xf>
    <xf numFmtId="0" fontId="3" fillId="2" borderId="1" xfId="0" applyFont="1" applyFill="1" applyBorder="1" applyAlignment="1">
      <alignment vertical="top" wrapText="1"/>
    </xf>
    <xf numFmtId="0" fontId="0" fillId="0" borderId="0" xfId="0" applyAlignment="1">
      <alignment vertical="top" wrapText="1"/>
    </xf>
    <xf numFmtId="0" fontId="3" fillId="3" borderId="1" xfId="0" applyFont="1" applyFill="1" applyBorder="1" applyAlignment="1">
      <alignment vertical="top" wrapText="1"/>
    </xf>
    <xf numFmtId="0" fontId="13" fillId="9" borderId="0" xfId="0" applyFont="1" applyFill="1" applyAlignment="1">
      <alignment vertical="top" wrapText="1"/>
    </xf>
    <xf numFmtId="0" fontId="7" fillId="8" borderId="1" xfId="0" applyFont="1" applyFill="1" applyBorder="1" applyAlignment="1">
      <alignment horizontal="center" vertical="top" wrapText="1"/>
    </xf>
    <xf numFmtId="0" fontId="14" fillId="8" borderId="0" xfId="0" applyFont="1" applyFill="1" applyAlignment="1">
      <alignment horizontal="center" vertical="top" wrapText="1"/>
    </xf>
    <xf numFmtId="0" fontId="5" fillId="0" borderId="3" xfId="0" applyFont="1" applyBorder="1" applyAlignment="1">
      <alignment vertical="top" wrapText="1"/>
    </xf>
    <xf numFmtId="0" fontId="5" fillId="0" borderId="4" xfId="0" applyFont="1" applyBorder="1" applyAlignment="1">
      <alignment vertical="top" wrapText="1"/>
    </xf>
    <xf numFmtId="0" fontId="6" fillId="9" borderId="0" xfId="0" applyFont="1" applyFill="1" applyAlignment="1">
      <alignment vertical="top" wrapText="1"/>
    </xf>
    <xf numFmtId="0" fontId="13" fillId="9" borderId="0" xfId="0" applyFont="1" applyFill="1" applyAlignment="1">
      <alignment vertical="top"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4" fillId="0" borderId="2" xfId="0" applyFont="1" applyBorder="1" applyAlignment="1">
      <alignment vertical="top" wrapText="1"/>
    </xf>
    <xf numFmtId="0" fontId="5" fillId="0" borderId="3" xfId="0" applyFont="1" applyBorder="1"/>
    <xf numFmtId="0" fontId="5" fillId="0" borderId="4" xfId="0" applyFont="1" applyBorder="1"/>
    <xf numFmtId="0" fontId="0" fillId="0" borderId="0" xfId="0"/>
    <xf numFmtId="0" fontId="1" fillId="0" borderId="0" xfId="0" applyFont="1"/>
    <xf numFmtId="0" fontId="2" fillId="0" borderId="0" xfId="0" applyFont="1"/>
    <xf numFmtId="0" fontId="8" fillId="3" borderId="2" xfId="0" applyFont="1" applyFill="1" applyBorder="1"/>
    <xf numFmtId="0" fontId="17" fillId="0" borderId="0" xfId="0" applyFont="1" applyAlignment="1">
      <alignment vertical="top" wrapText="1"/>
    </xf>
    <xf numFmtId="0" fontId="17" fillId="0" borderId="0" xfId="0" applyFont="1"/>
    <xf numFmtId="0" fontId="17" fillId="0" borderId="1" xfId="0" applyFont="1" applyBorder="1" applyAlignment="1">
      <alignment vertical="top" wrapText="1"/>
    </xf>
    <xf numFmtId="164" fontId="17" fillId="0" borderId="1" xfId="0" applyNumberFormat="1" applyFont="1" applyBorder="1" applyAlignment="1">
      <alignment vertical="top" wrapText="1"/>
    </xf>
    <xf numFmtId="0" fontId="17" fillId="5" borderId="1" xfId="0" applyFont="1" applyFill="1" applyBorder="1" applyAlignment="1">
      <alignment vertical="top" wrapText="1"/>
    </xf>
    <xf numFmtId="165" fontId="17" fillId="5" borderId="1" xfId="0" applyNumberFormat="1" applyFont="1" applyFill="1" applyBorder="1" applyAlignment="1">
      <alignment vertical="top" wrapText="1"/>
    </xf>
    <xf numFmtId="164" fontId="17" fillId="5" borderId="1" xfId="0" applyNumberFormat="1" applyFont="1" applyFill="1" applyBorder="1" applyAlignment="1">
      <alignment vertical="top" wrapText="1"/>
    </xf>
    <xf numFmtId="0" fontId="18" fillId="9" borderId="0" xfId="0" applyFont="1" applyFill="1" applyAlignment="1">
      <alignment vertical="top" wrapText="1"/>
    </xf>
    <xf numFmtId="0" fontId="17" fillId="0" borderId="1" xfId="0" applyFont="1" applyBorder="1" applyAlignment="1">
      <alignment horizontal="center" vertical="top" wrapText="1"/>
    </xf>
    <xf numFmtId="0" fontId="17" fillId="0" borderId="6" xfId="0" applyFont="1" applyBorder="1" applyAlignment="1">
      <alignment horizontal="center" vertical="top" wrapText="1"/>
    </xf>
    <xf numFmtId="0" fontId="18" fillId="9" borderId="0" xfId="0" applyFont="1" applyFill="1" applyAlignment="1">
      <alignment horizontal="center" vertical="top" wrapText="1"/>
    </xf>
    <xf numFmtId="0" fontId="17" fillId="0" borderId="6" xfId="0" applyFont="1" applyBorder="1" applyAlignment="1">
      <alignment horizontal="left"/>
    </xf>
    <xf numFmtId="0" fontId="18" fillId="13" borderId="6" xfId="0" applyFont="1" applyFill="1" applyBorder="1" applyAlignment="1">
      <alignment horizontal="left" vertical="top" wrapText="1"/>
    </xf>
    <xf numFmtId="0" fontId="17" fillId="0" borderId="0" xfId="0" applyFont="1" applyAlignment="1">
      <alignment horizontal="center" vertical="top" wrapText="1"/>
    </xf>
    <xf numFmtId="0" fontId="17" fillId="0" borderId="1" xfId="0" applyFont="1" applyBorder="1" applyAlignment="1">
      <alignment horizontal="left" vertical="top" wrapText="1"/>
    </xf>
    <xf numFmtId="0" fontId="17" fillId="5" borderId="1" xfId="0" applyFont="1" applyFill="1" applyBorder="1" applyAlignment="1">
      <alignment horizontal="left" vertical="top" wrapText="1"/>
    </xf>
    <xf numFmtId="0" fontId="17" fillId="0" borderId="0" xfId="0" applyFont="1" applyAlignment="1">
      <alignment horizontal="left" vertical="top" wrapText="1"/>
    </xf>
    <xf numFmtId="14" fontId="17" fillId="5" borderId="1" xfId="0" applyNumberFormat="1" applyFont="1" applyFill="1" applyBorder="1" applyAlignment="1">
      <alignment horizontal="left" vertical="top" wrapText="1"/>
    </xf>
    <xf numFmtId="0" fontId="18" fillId="9" borderId="0" xfId="0" applyFont="1" applyFill="1" applyAlignment="1">
      <alignment horizontal="left" vertical="top" wrapText="1"/>
    </xf>
    <xf numFmtId="0" fontId="17" fillId="0" borderId="6" xfId="0" applyFont="1" applyBorder="1" applyAlignment="1">
      <alignment horizontal="left" vertical="top" wrapText="1"/>
    </xf>
    <xf numFmtId="0" fontId="18" fillId="13" borderId="6" xfId="0" applyFont="1" applyFill="1" applyBorder="1" applyAlignment="1">
      <alignment horizontal="left"/>
    </xf>
    <xf numFmtId="0" fontId="20" fillId="0" borderId="1" xfId="0" applyFont="1" applyBorder="1" applyAlignment="1">
      <alignment vertical="top" wrapText="1"/>
    </xf>
    <xf numFmtId="0" fontId="20" fillId="0" borderId="0" xfId="0" applyFont="1" applyAlignment="1">
      <alignment vertical="top" wrapText="1"/>
    </xf>
    <xf numFmtId="0" fontId="21" fillId="8" borderId="1" xfId="0" applyFont="1" applyFill="1" applyBorder="1" applyAlignment="1">
      <alignment horizontal="center" vertical="top" wrapText="1"/>
    </xf>
    <xf numFmtId="0" fontId="18" fillId="13" borderId="2" xfId="0" applyFont="1" applyFill="1" applyBorder="1" applyAlignment="1">
      <alignment vertical="top" wrapText="1"/>
    </xf>
    <xf numFmtId="0" fontId="18" fillId="13" borderId="1" xfId="0" applyFont="1" applyFill="1" applyBorder="1" applyAlignment="1">
      <alignment vertical="top" wrapText="1"/>
    </xf>
    <xf numFmtId="0" fontId="18" fillId="13" borderId="3" xfId="0" applyFont="1" applyFill="1" applyBorder="1" applyAlignment="1">
      <alignment vertical="top" wrapText="1"/>
    </xf>
    <xf numFmtId="0" fontId="18" fillId="13" borderId="4" xfId="0" applyFont="1" applyFill="1" applyBorder="1" applyAlignment="1">
      <alignment vertical="top" wrapText="1"/>
    </xf>
    <xf numFmtId="0" fontId="17" fillId="0" borderId="1" xfId="0" applyFont="1" applyFill="1" applyBorder="1"/>
    <xf numFmtId="0" fontId="18" fillId="0" borderId="2" xfId="0" applyFont="1" applyFill="1" applyBorder="1" applyAlignment="1"/>
    <xf numFmtId="0" fontId="17" fillId="0" borderId="1" xfId="0" applyFont="1" applyFill="1" applyBorder="1" applyAlignment="1">
      <alignment vertical="top" wrapText="1"/>
    </xf>
    <xf numFmtId="0" fontId="20" fillId="0" borderId="1" xfId="0" applyFont="1" applyFill="1" applyBorder="1" applyAlignment="1">
      <alignment vertical="top" wrapText="1"/>
    </xf>
    <xf numFmtId="0" fontId="17" fillId="0" borderId="3" xfId="0" applyFont="1" applyFill="1" applyBorder="1" applyAlignment="1"/>
    <xf numFmtId="0" fontId="17" fillId="0" borderId="4" xfId="0" applyFont="1" applyFill="1" applyBorder="1" applyAlignment="1"/>
    <xf numFmtId="0" fontId="24" fillId="0" borderId="0" xfId="0" applyFont="1" applyAlignment="1">
      <alignment wrapText="1"/>
    </xf>
    <xf numFmtId="0" fontId="25" fillId="0" borderId="0" xfId="0" applyFont="1" applyAlignment="1">
      <alignment wrapText="1"/>
    </xf>
    <xf numFmtId="0" fontId="18" fillId="0" borderId="0" xfId="0" applyFont="1"/>
    <xf numFmtId="0" fontId="17" fillId="0" borderId="5" xfId="0" applyFont="1" applyFill="1" applyBorder="1"/>
    <xf numFmtId="0" fontId="17" fillId="0" borderId="0" xfId="0" applyFont="1" applyFill="1"/>
    <xf numFmtId="0" fontId="17" fillId="14" borderId="8" xfId="0" applyFont="1" applyFill="1" applyBorder="1" applyAlignment="1">
      <alignment wrapText="1"/>
    </xf>
    <xf numFmtId="0" fontId="17" fillId="12" borderId="8" xfId="0" applyFont="1" applyFill="1" applyBorder="1" applyAlignment="1">
      <alignment wrapText="1"/>
    </xf>
    <xf numFmtId="0" fontId="17" fillId="11" borderId="8" xfId="0" applyFont="1" applyFill="1" applyBorder="1" applyAlignment="1">
      <alignment wrapText="1"/>
    </xf>
    <xf numFmtId="0" fontId="18" fillId="9" borderId="2" xfId="0" applyFont="1" applyFill="1" applyBorder="1" applyAlignment="1">
      <alignment vertical="top" wrapText="1"/>
    </xf>
    <xf numFmtId="0" fontId="18" fillId="9" borderId="2" xfId="0" applyFont="1" applyFill="1" applyBorder="1" applyAlignment="1">
      <alignment horizontal="left" vertical="top" wrapText="1"/>
    </xf>
    <xf numFmtId="0" fontId="18" fillId="9" borderId="3" xfId="0" applyFont="1" applyFill="1" applyBorder="1" applyAlignment="1">
      <alignment horizontal="left" vertical="top" wrapText="1"/>
    </xf>
    <xf numFmtId="0" fontId="18" fillId="9" borderId="4" xfId="0" applyFont="1" applyFill="1" applyBorder="1" applyAlignment="1">
      <alignment horizontal="left" vertical="top" wrapText="1"/>
    </xf>
    <xf numFmtId="0" fontId="18" fillId="9" borderId="1" xfId="0" applyFont="1" applyFill="1" applyBorder="1" applyAlignment="1">
      <alignment horizontal="center" vertical="top" wrapText="1"/>
    </xf>
    <xf numFmtId="0" fontId="18" fillId="0" borderId="0" xfId="0" applyFont="1" applyFill="1"/>
    <xf numFmtId="0" fontId="17" fillId="0" borderId="2" xfId="0" applyFont="1" applyFill="1" applyBorder="1" applyAlignment="1">
      <alignment vertical="top" wrapText="1"/>
    </xf>
    <xf numFmtId="0" fontId="27" fillId="0" borderId="0" xfId="0" applyFont="1" applyAlignment="1">
      <alignment wrapText="1"/>
    </xf>
    <xf numFmtId="0" fontId="20" fillId="0" borderId="0" xfId="0" applyFont="1" applyAlignment="1">
      <alignment wrapText="1"/>
    </xf>
    <xf numFmtId="0" fontId="18" fillId="9" borderId="3" xfId="0" applyFont="1" applyFill="1" applyBorder="1" applyAlignment="1">
      <alignment vertical="top" wrapText="1"/>
    </xf>
    <xf numFmtId="0" fontId="18" fillId="9" borderId="4" xfId="0" applyFont="1" applyFill="1" applyBorder="1" applyAlignment="1">
      <alignment vertical="top" wrapText="1"/>
    </xf>
    <xf numFmtId="0" fontId="17" fillId="0" borderId="3" xfId="0" applyFont="1" applyFill="1" applyBorder="1" applyAlignment="1">
      <alignment vertical="top" wrapText="1"/>
    </xf>
    <xf numFmtId="0" fontId="17" fillId="0" borderId="4" xfId="0" applyFont="1" applyFill="1" applyBorder="1" applyAlignment="1">
      <alignment vertical="top" wrapText="1"/>
    </xf>
    <xf numFmtId="0" fontId="28" fillId="8" borderId="1" xfId="0" applyFont="1" applyFill="1" applyBorder="1" applyAlignment="1">
      <alignment horizontal="center" vertical="top" wrapText="1"/>
    </xf>
    <xf numFmtId="0" fontId="29" fillId="0" borderId="0" xfId="0" applyFont="1"/>
    <xf numFmtId="0" fontId="17" fillId="0" borderId="1" xfId="0" applyFont="1" applyFill="1" applyBorder="1" applyAlignment="1">
      <alignment horizontal="center" vertical="top" wrapText="1"/>
    </xf>
    <xf numFmtId="0" fontId="17" fillId="0" borderId="0" xfId="0" applyFont="1" applyAlignment="1">
      <alignment horizontal="center"/>
    </xf>
    <xf numFmtId="0" fontId="18" fillId="9" borderId="7" xfId="0" applyFont="1" applyFill="1" applyBorder="1" applyAlignment="1">
      <alignment horizontal="left" vertical="top" wrapText="1"/>
    </xf>
    <xf numFmtId="0" fontId="17" fillId="0" borderId="0" xfId="0" applyFont="1" applyFill="1" applyAlignment="1">
      <alignment horizontal="center" vertical="top" wrapText="1"/>
    </xf>
    <xf numFmtId="0" fontId="17" fillId="0" borderId="0" xfId="0" applyFont="1" applyFill="1" applyAlignment="1">
      <alignment vertical="top" wrapText="1"/>
    </xf>
    <xf numFmtId="0" fontId="31" fillId="0" borderId="2" xfId="0" applyFont="1" applyBorder="1" applyAlignment="1">
      <alignment vertical="top" wrapText="1"/>
    </xf>
    <xf numFmtId="0" fontId="30" fillId="0" borderId="3" xfId="0" applyFont="1" applyBorder="1" applyAlignment="1">
      <alignment vertical="top" wrapText="1"/>
    </xf>
    <xf numFmtId="0" fontId="17" fillId="0" borderId="2" xfId="0" applyFont="1" applyBorder="1" applyAlignment="1">
      <alignment vertical="top" wrapText="1"/>
    </xf>
    <xf numFmtId="0" fontId="24" fillId="0" borderId="0" xfId="0" applyFont="1" applyAlignment="1">
      <alignment horizontal="left" wrapText="1"/>
    </xf>
    <xf numFmtId="0" fontId="17" fillId="0" borderId="0" xfId="0" applyFont="1" applyAlignment="1">
      <alignment horizontal="left"/>
    </xf>
    <xf numFmtId="0" fontId="17" fillId="0" borderId="0" xfId="0" applyFont="1" applyAlignment="1">
      <alignment horizontal="left"/>
    </xf>
    <xf numFmtId="0" fontId="25" fillId="0" borderId="0" xfId="0" applyFont="1" applyAlignment="1">
      <alignment horizontal="left" wrapText="1"/>
    </xf>
    <xf numFmtId="0" fontId="33" fillId="9" borderId="2" xfId="0" applyFont="1" applyFill="1" applyBorder="1" applyAlignment="1">
      <alignment horizontal="left" vertical="top" wrapText="1"/>
    </xf>
    <xf numFmtId="0" fontId="26" fillId="9" borderId="3" xfId="0" applyFont="1" applyFill="1" applyBorder="1" applyAlignment="1">
      <alignment horizontal="left" vertical="top" wrapText="1"/>
    </xf>
    <xf numFmtId="0" fontId="22" fillId="0" borderId="3" xfId="0" applyFont="1" applyBorder="1" applyAlignment="1">
      <alignment horizontal="left"/>
    </xf>
    <xf numFmtId="0" fontId="22" fillId="0" borderId="4" xfId="0" applyFont="1" applyBorder="1" applyAlignment="1">
      <alignment horizontal="left"/>
    </xf>
    <xf numFmtId="0" fontId="32" fillId="5" borderId="1" xfId="0" applyFont="1" applyFill="1" applyBorder="1" applyAlignment="1">
      <alignment horizontal="left" vertical="top" wrapText="1"/>
    </xf>
    <xf numFmtId="0" fontId="31" fillId="0" borderId="2" xfId="0" applyFont="1" applyBorder="1" applyAlignment="1">
      <alignment horizontal="left" vertical="top" wrapText="1"/>
    </xf>
    <xf numFmtId="14" fontId="31" fillId="0" borderId="2" xfId="0" applyNumberFormat="1" applyFont="1" applyBorder="1" applyAlignment="1">
      <alignment horizontal="left" vertical="top" wrapText="1"/>
    </xf>
    <xf numFmtId="0" fontId="22" fillId="0" borderId="2" xfId="0" applyFont="1" applyBorder="1" applyAlignment="1">
      <alignment horizontal="left" vertical="top" wrapText="1"/>
    </xf>
    <xf numFmtId="0" fontId="34" fillId="9" borderId="2" xfId="0" applyFont="1" applyFill="1" applyBorder="1" applyAlignment="1">
      <alignment horizontal="left" vertical="top" wrapText="1"/>
    </xf>
    <xf numFmtId="0" fontId="18" fillId="5" borderId="1" xfId="0" applyFont="1" applyFill="1" applyBorder="1" applyAlignment="1">
      <alignment horizontal="left" vertical="top" wrapText="1"/>
    </xf>
    <xf numFmtId="0" fontId="22" fillId="0" borderId="3" xfId="0" applyFont="1" applyBorder="1" applyAlignment="1">
      <alignment horizontal="left" vertical="top" wrapText="1"/>
    </xf>
    <xf numFmtId="0" fontId="35" fillId="0" borderId="0" xfId="0" applyFont="1" applyAlignment="1">
      <alignment horizontal="left"/>
    </xf>
    <xf numFmtId="0" fontId="23" fillId="0" borderId="2" xfId="0" applyFont="1" applyBorder="1" applyAlignment="1">
      <alignment horizontal="left" vertical="top" wrapText="1"/>
    </xf>
    <xf numFmtId="14" fontId="17" fillId="0" borderId="1" xfId="0" applyNumberFormat="1" applyFont="1" applyBorder="1" applyAlignment="1">
      <alignment horizontal="left" vertical="top" wrapText="1"/>
    </xf>
    <xf numFmtId="0" fontId="17" fillId="0" borderId="1" xfId="0" applyFont="1" applyFill="1" applyBorder="1" applyAlignment="1">
      <alignment horizontal="left" vertical="top" wrapText="1"/>
    </xf>
    <xf numFmtId="0" fontId="21" fillId="16" borderId="8" xfId="0" applyFont="1" applyFill="1" applyBorder="1" applyAlignment="1">
      <alignment wrapText="1"/>
    </xf>
    <xf numFmtId="0" fontId="21" fillId="17" borderId="8" xfId="0" applyFont="1" applyFill="1" applyBorder="1" applyAlignment="1">
      <alignment wrapText="1"/>
    </xf>
    <xf numFmtId="0" fontId="18" fillId="18" borderId="8" xfId="0" applyFont="1" applyFill="1" applyBorder="1" applyAlignment="1">
      <alignment wrapText="1"/>
    </xf>
    <xf numFmtId="0" fontId="18" fillId="19" borderId="8" xfId="0" applyFont="1" applyFill="1" applyBorder="1" applyAlignment="1">
      <alignment wrapText="1"/>
    </xf>
    <xf numFmtId="0" fontId="21" fillId="0" borderId="5" xfId="0" applyFont="1" applyFill="1" applyBorder="1"/>
    <xf numFmtId="0" fontId="18" fillId="0" borderId="5" xfId="0" applyFont="1" applyFill="1" applyBorder="1"/>
    <xf numFmtId="0" fontId="22" fillId="5" borderId="1" xfId="0" applyFont="1" applyFill="1" applyBorder="1" applyAlignment="1">
      <alignment vertical="top" wrapText="1"/>
    </xf>
    <xf numFmtId="0" fontId="17" fillId="0" borderId="9" xfId="0" applyFont="1" applyBorder="1" applyAlignment="1">
      <alignment horizontal="right" vertical="top" wrapText="1"/>
    </xf>
    <xf numFmtId="0" fontId="17" fillId="0" borderId="10" xfId="0" applyFont="1" applyBorder="1" applyAlignment="1">
      <alignment vertical="top" wrapText="1"/>
    </xf>
    <xf numFmtId="0" fontId="21" fillId="20" borderId="9" xfId="0" applyFont="1" applyFill="1" applyBorder="1" applyAlignment="1">
      <alignment horizontal="center" vertical="center" wrapText="1"/>
    </xf>
    <xf numFmtId="0" fontId="21" fillId="20" borderId="10" xfId="0" applyFont="1" applyFill="1" applyBorder="1" applyAlignment="1">
      <alignment horizontal="center" vertical="center" wrapText="1"/>
    </xf>
    <xf numFmtId="0" fontId="18" fillId="13" borderId="11" xfId="0" applyFont="1" applyFill="1" applyBorder="1" applyAlignment="1">
      <alignment horizontal="left" vertical="top" wrapText="1"/>
    </xf>
    <xf numFmtId="0" fontId="18" fillId="13" borderId="7" xfId="0" applyFont="1" applyFill="1" applyBorder="1" applyAlignment="1">
      <alignment horizontal="left" vertical="top" wrapText="1"/>
    </xf>
    <xf numFmtId="0" fontId="18" fillId="13" borderId="12" xfId="0" applyFont="1" applyFill="1" applyBorder="1" applyAlignment="1">
      <alignment horizontal="left" vertical="top" wrapText="1"/>
    </xf>
    <xf numFmtId="0" fontId="18" fillId="13" borderId="13" xfId="0" applyFont="1" applyFill="1" applyBorder="1" applyAlignment="1">
      <alignment horizontal="left" vertical="top" wrapText="1"/>
    </xf>
    <xf numFmtId="0" fontId="18" fillId="13" borderId="14" xfId="0" applyFont="1" applyFill="1" applyBorder="1" applyAlignment="1">
      <alignment horizontal="left" vertical="top" wrapText="1"/>
    </xf>
    <xf numFmtId="0" fontId="18" fillId="13" borderId="15" xfId="0" applyFont="1" applyFill="1" applyBorder="1" applyAlignment="1">
      <alignment horizontal="left" vertical="top" wrapText="1"/>
    </xf>
    <xf numFmtId="0" fontId="21" fillId="21" borderId="2" xfId="0" applyFont="1" applyFill="1" applyBorder="1" applyAlignment="1">
      <alignment horizontal="left" vertical="top" wrapText="1"/>
    </xf>
    <xf numFmtId="0" fontId="21" fillId="21" borderId="3" xfId="0" applyFont="1" applyFill="1" applyBorder="1" applyAlignment="1">
      <alignment horizontal="left" vertical="top" wrapText="1"/>
    </xf>
    <xf numFmtId="0" fontId="21" fillId="21" borderId="4" xfId="0" applyFont="1" applyFill="1" applyBorder="1" applyAlignment="1">
      <alignment horizontal="left" vertical="top" wrapText="1"/>
    </xf>
    <xf numFmtId="0" fontId="17" fillId="13" borderId="1" xfId="0" applyFont="1" applyFill="1" applyBorder="1" applyAlignment="1">
      <alignment horizontal="left" vertical="center" wrapText="1"/>
    </xf>
    <xf numFmtId="0" fontId="17" fillId="13" borderId="0" xfId="0" applyFont="1" applyFill="1" applyAlignment="1">
      <alignment horizontal="left" vertical="center" wrapText="1"/>
    </xf>
    <xf numFmtId="0" fontId="17" fillId="0" borderId="1" xfId="0" applyFont="1" applyBorder="1" applyAlignment="1">
      <alignment horizontal="left" vertical="center" wrapText="1"/>
    </xf>
    <xf numFmtId="0" fontId="17" fillId="0" borderId="0" xfId="0" applyFont="1" applyAlignment="1">
      <alignment horizontal="left" vertical="center" wrapText="1"/>
    </xf>
    <xf numFmtId="0" fontId="17" fillId="0" borderId="1" xfId="0" applyFont="1" applyFill="1" applyBorder="1" applyAlignment="1">
      <alignment horizontal="left" vertical="center" wrapText="1"/>
    </xf>
    <xf numFmtId="0" fontId="17" fillId="0" borderId="0" xfId="0" applyFont="1" applyFill="1" applyAlignment="1">
      <alignment horizontal="left" vertical="center" wrapText="1"/>
    </xf>
    <xf numFmtId="0" fontId="22" fillId="0" borderId="1" xfId="0" applyFont="1" applyBorder="1" applyAlignment="1">
      <alignment horizontal="center" vertical="top" wrapText="1"/>
    </xf>
    <xf numFmtId="0" fontId="31" fillId="0" borderId="1" xfId="0" applyFont="1" applyBorder="1" applyAlignment="1">
      <alignment vertical="top" wrapText="1"/>
    </xf>
    <xf numFmtId="0" fontId="22" fillId="0" borderId="1" xfId="0" applyFont="1" applyBorder="1" applyAlignment="1">
      <alignment vertical="top" wrapText="1"/>
    </xf>
    <xf numFmtId="0" fontId="22" fillId="0" borderId="0" xfId="0" applyFont="1"/>
    <xf numFmtId="0" fontId="22" fillId="0" borderId="0" xfId="0" applyFont="1" applyAlignment="1">
      <alignment vertical="top" wrapText="1"/>
    </xf>
    <xf numFmtId="0" fontId="22" fillId="0" borderId="3" xfId="0" applyFont="1" applyBorder="1" applyAlignment="1"/>
    <xf numFmtId="0" fontId="22" fillId="0" borderId="4" xfId="0" applyFont="1" applyBorder="1" applyAlignment="1"/>
    <xf numFmtId="0" fontId="18" fillId="5" borderId="2" xfId="0" applyFont="1" applyFill="1" applyBorder="1" applyAlignment="1">
      <alignment horizontal="left" vertical="top" wrapText="1"/>
    </xf>
    <xf numFmtId="0" fontId="18" fillId="5" borderId="3" xfId="0" applyFont="1" applyFill="1" applyBorder="1" applyAlignment="1">
      <alignment horizontal="left" vertical="top" wrapText="1"/>
    </xf>
    <xf numFmtId="0" fontId="18" fillId="5" borderId="4" xfId="0" applyFont="1" applyFill="1" applyBorder="1" applyAlignment="1">
      <alignment horizontal="left" vertical="top" wrapText="1"/>
    </xf>
    <xf numFmtId="0" fontId="26" fillId="5" borderId="1" xfId="0" applyFont="1" applyFill="1" applyBorder="1" applyAlignment="1">
      <alignment horizontal="left" vertical="top" wrapText="1"/>
    </xf>
    <xf numFmtId="0" fontId="22" fillId="0" borderId="3" xfId="0" applyFont="1" applyBorder="1" applyAlignment="1">
      <alignment vertical="top" wrapText="1"/>
    </xf>
    <xf numFmtId="0" fontId="32" fillId="15" borderId="1" xfId="0" applyFont="1" applyFill="1" applyBorder="1" applyAlignment="1">
      <alignment horizontal="left" vertical="top" wrapText="1"/>
    </xf>
    <xf numFmtId="0" fontId="32" fillId="15" borderId="16" xfId="0" applyFont="1" applyFill="1" applyBorder="1" applyAlignment="1">
      <alignment horizontal="left" vertical="top" wrapText="1"/>
    </xf>
    <xf numFmtId="0" fontId="31" fillId="0" borderId="2" xfId="0" applyFont="1" applyBorder="1" applyAlignment="1">
      <alignment vertical="top" wrapText="1"/>
    </xf>
    <xf numFmtId="0" fontId="18" fillId="0" borderId="1" xfId="0" applyFont="1" applyFill="1" applyBorder="1" applyAlignment="1">
      <alignment horizontal="left" vertical="top" wrapText="1"/>
    </xf>
    <xf numFmtId="0" fontId="31" fillId="0" borderId="3" xfId="0" applyFont="1" applyBorder="1" applyAlignment="1">
      <alignment horizontal="left" vertical="top" wrapText="1"/>
    </xf>
    <xf numFmtId="0" fontId="31" fillId="0" borderId="4" xfId="0" applyFont="1" applyBorder="1" applyAlignment="1">
      <alignment horizontal="left" vertical="top" wrapText="1"/>
    </xf>
    <xf numFmtId="0" fontId="22" fillId="0" borderId="4" xfId="0" applyFont="1" applyBorder="1" applyAlignment="1">
      <alignment horizontal="left" vertical="top" wrapText="1"/>
    </xf>
    <xf numFmtId="0" fontId="31" fillId="0" borderId="2" xfId="0" applyFont="1" applyFill="1" applyBorder="1" applyAlignment="1">
      <alignment horizontal="left" vertical="top" wrapText="1"/>
    </xf>
    <xf numFmtId="0" fontId="31" fillId="0" borderId="3" xfId="0" applyFont="1" applyFill="1" applyBorder="1" applyAlignment="1">
      <alignment horizontal="left" vertical="top" wrapText="1"/>
    </xf>
    <xf numFmtId="0" fontId="31" fillId="0" borderId="4" xfId="0" applyFont="1" applyFill="1" applyBorder="1" applyAlignment="1">
      <alignment horizontal="left" vertical="top" wrapText="1"/>
    </xf>
    <xf numFmtId="0" fontId="30" fillId="0" borderId="4" xfId="0" applyFont="1" applyBorder="1" applyAlignment="1">
      <alignment vertical="top" wrapText="1"/>
    </xf>
    <xf numFmtId="0" fontId="30" fillId="0" borderId="3" xfId="0" applyFont="1" applyBorder="1" applyAlignment="1">
      <alignment horizontal="left" vertical="top" wrapText="1"/>
    </xf>
    <xf numFmtId="0" fontId="30" fillId="0" borderId="4" xfId="0" applyFont="1" applyBorder="1" applyAlignment="1">
      <alignment horizontal="left" vertical="top" wrapText="1"/>
    </xf>
    <xf numFmtId="164" fontId="31" fillId="0" borderId="2" xfId="0" applyNumberFormat="1" applyFont="1" applyBorder="1" applyAlignment="1">
      <alignment vertical="top" wrapText="1"/>
    </xf>
    <xf numFmtId="0" fontId="24" fillId="0" borderId="0" xfId="0" applyFont="1" applyAlignment="1">
      <alignment horizontal="left" vertical="center" wrapText="1"/>
    </xf>
    <xf numFmtId="0" fontId="21" fillId="8" borderId="9" xfId="0" applyFont="1" applyFill="1" applyBorder="1" applyAlignment="1">
      <alignment horizontal="center" vertical="center" wrapText="1"/>
    </xf>
    <xf numFmtId="0" fontId="21" fillId="8" borderId="10" xfId="0" applyFont="1" applyFill="1" applyBorder="1" applyAlignment="1">
      <alignment horizontal="center" vertical="center" wrapText="1"/>
    </xf>
    <xf numFmtId="0" fontId="36" fillId="9" borderId="1" xfId="0" applyFont="1" applyFill="1" applyBorder="1" applyAlignment="1">
      <alignment horizontal="center" vertical="center" wrapText="1"/>
    </xf>
    <xf numFmtId="0" fontId="36" fillId="9" borderId="2" xfId="0" applyFont="1" applyFill="1" applyBorder="1" applyAlignment="1">
      <alignment horizontal="left" vertical="center" wrapText="1"/>
    </xf>
    <xf numFmtId="0" fontId="36" fillId="9" borderId="3" xfId="0" applyFont="1" applyFill="1" applyBorder="1" applyAlignment="1">
      <alignment horizontal="left" vertical="center" wrapText="1"/>
    </xf>
    <xf numFmtId="0" fontId="36" fillId="9" borderId="3" xfId="0" applyFont="1" applyFill="1" applyBorder="1" applyAlignment="1">
      <alignment horizontal="center" vertical="center" wrapText="1"/>
    </xf>
    <xf numFmtId="0" fontId="36" fillId="9" borderId="4" xfId="0" applyFont="1" applyFill="1" applyBorder="1" applyAlignment="1">
      <alignment horizontal="center" vertical="center" wrapText="1"/>
    </xf>
    <xf numFmtId="0" fontId="31" fillId="0" borderId="1" xfId="0" applyFont="1" applyBorder="1" applyAlignment="1">
      <alignment horizontal="center" vertical="top" wrapText="1"/>
    </xf>
    <xf numFmtId="0" fontId="36" fillId="9" borderId="2" xfId="0" applyFont="1" applyFill="1" applyBorder="1" applyAlignment="1">
      <alignment horizontal="left" vertical="center" wrapText="1"/>
    </xf>
    <xf numFmtId="0" fontId="36" fillId="9" borderId="3" xfId="0" applyFont="1" applyFill="1" applyBorder="1" applyAlignment="1">
      <alignment horizontal="left" vertical="center" wrapText="1"/>
    </xf>
    <xf numFmtId="0" fontId="36" fillId="9" borderId="3" xfId="0" applyFont="1" applyFill="1" applyBorder="1" applyAlignment="1">
      <alignment horizontal="center" vertical="center" wrapText="1"/>
    </xf>
    <xf numFmtId="0" fontId="36" fillId="9" borderId="4" xfId="0" applyFont="1" applyFill="1" applyBorder="1" applyAlignment="1">
      <alignment horizontal="center" vertical="center" wrapText="1"/>
    </xf>
    <xf numFmtId="0" fontId="21" fillId="4" borderId="1" xfId="1" applyFont="1" applyFill="1" applyBorder="1" applyAlignment="1">
      <alignment horizontal="center" vertical="center" wrapText="1"/>
    </xf>
    <xf numFmtId="0" fontId="24" fillId="0" borderId="5" xfId="1" applyFont="1" applyAlignment="1">
      <alignment wrapText="1"/>
    </xf>
    <xf numFmtId="0" fontId="25" fillId="0" borderId="5" xfId="1" applyFont="1" applyAlignment="1">
      <alignment wrapText="1"/>
    </xf>
    <xf numFmtId="0" fontId="18" fillId="27" borderId="5" xfId="1" applyFont="1" applyFill="1" applyAlignment="1">
      <alignment vertical="top" wrapText="1"/>
    </xf>
    <xf numFmtId="0" fontId="17" fillId="27" borderId="5" xfId="1" applyFont="1" applyFill="1" applyAlignment="1">
      <alignment vertical="top" wrapText="1"/>
    </xf>
    <xf numFmtId="0" fontId="17" fillId="7" borderId="5" xfId="1" applyFont="1" applyFill="1" applyAlignment="1">
      <alignment vertical="top" wrapText="1"/>
    </xf>
    <xf numFmtId="0" fontId="18" fillId="22" borderId="5" xfId="1" applyFont="1" applyFill="1" applyAlignment="1">
      <alignment vertical="top" wrapText="1"/>
    </xf>
    <xf numFmtId="0" fontId="18" fillId="28" borderId="5" xfId="1" applyFont="1" applyFill="1" applyAlignment="1">
      <alignment vertical="top" wrapText="1"/>
    </xf>
    <xf numFmtId="0" fontId="17" fillId="28" borderId="5" xfId="1" applyFont="1" applyFill="1" applyAlignment="1">
      <alignment vertical="top" wrapText="1"/>
    </xf>
    <xf numFmtId="0" fontId="18" fillId="23" borderId="5" xfId="1" applyFont="1" applyFill="1" applyAlignment="1">
      <alignment vertical="top" wrapText="1"/>
    </xf>
    <xf numFmtId="0" fontId="17" fillId="6" borderId="5" xfId="1" applyFont="1" applyFill="1" applyAlignment="1">
      <alignment vertical="top" wrapText="1"/>
    </xf>
    <xf numFmtId="0" fontId="18" fillId="2" borderId="5" xfId="1" applyFont="1" applyFill="1" applyAlignment="1">
      <alignment vertical="top" wrapText="1"/>
    </xf>
    <xf numFmtId="0" fontId="17" fillId="10" borderId="5" xfId="1" applyFont="1" applyFill="1" applyAlignment="1">
      <alignment vertical="top" wrapText="1"/>
    </xf>
    <xf numFmtId="0" fontId="18" fillId="24" borderId="5" xfId="1" applyFont="1" applyFill="1" applyAlignment="1">
      <alignment vertical="top" wrapText="1"/>
    </xf>
    <xf numFmtId="0" fontId="18" fillId="25" borderId="5" xfId="1" applyFont="1" applyFill="1" applyAlignment="1">
      <alignment vertical="top" wrapText="1"/>
    </xf>
    <xf numFmtId="0" fontId="18" fillId="26" borderId="5" xfId="1" applyFont="1" applyFill="1" applyAlignment="1">
      <alignment vertical="top" wrapText="1"/>
    </xf>
    <xf numFmtId="0" fontId="16" fillId="9" borderId="5" xfId="1" applyFont="1" applyFill="1" applyAlignment="1">
      <alignment horizontal="left" vertical="top" wrapText="1"/>
    </xf>
  </cellXfs>
  <cellStyles count="2">
    <cellStyle name="Normal" xfId="0" builtinId="0"/>
    <cellStyle name="Normal 2" xfId="1" xr:uid="{425C86E6-6459-466A-82A1-A38F1BB2275D}"/>
  </cellStyles>
  <dxfs count="31">
    <dxf>
      <fill>
        <patternFill>
          <bgColor rgb="FFE0E0E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C000"/>
        </patternFill>
      </fill>
    </dxf>
    <dxf>
      <font>
        <color rgb="FF9C0006"/>
      </font>
      <fill>
        <patternFill>
          <bgColor rgb="FFFFC7CE"/>
        </patternFill>
      </fill>
    </dxf>
    <dxf>
      <fill>
        <patternFill>
          <bgColor rgb="FFE0E0E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ill>
        <patternFill>
          <bgColor rgb="FFE0E0E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rgb="FFE0E0E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rgb="FFE0E0E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H1000"/>
  <sheetViews>
    <sheetView workbookViewId="0">
      <selection activeCell="B13" sqref="B13:D13"/>
    </sheetView>
  </sheetViews>
  <sheetFormatPr defaultColWidth="14.44140625" defaultRowHeight="14.4" x14ac:dyDescent="0.3"/>
  <cols>
    <col min="1" max="1" width="31.77734375" customWidth="1"/>
    <col min="2" max="2" width="41.6640625" bestFit="1" customWidth="1"/>
    <col min="3" max="3" width="36.6640625" bestFit="1" customWidth="1"/>
    <col min="4" max="8" width="16" customWidth="1"/>
    <col min="9" max="26" width="8.6640625" customWidth="1"/>
  </cols>
  <sheetData>
    <row r="1" spans="1:8" ht="21" x14ac:dyDescent="0.4">
      <c r="A1" s="14" t="s">
        <v>54</v>
      </c>
      <c r="B1" s="15"/>
      <c r="C1" s="15"/>
      <c r="D1" s="15"/>
      <c r="E1" s="15"/>
      <c r="F1" s="15"/>
      <c r="G1" s="15"/>
      <c r="H1" s="15"/>
    </row>
    <row r="2" spans="1:8" x14ac:dyDescent="0.3">
      <c r="A2" s="16" t="s">
        <v>55</v>
      </c>
      <c r="B2" s="17"/>
      <c r="C2" s="17"/>
      <c r="D2" s="17"/>
      <c r="E2" s="17"/>
      <c r="F2" s="17"/>
      <c r="G2" s="17"/>
      <c r="H2" s="17"/>
    </row>
    <row r="3" spans="1:8" x14ac:dyDescent="0.3">
      <c r="A3" s="4" t="s">
        <v>56</v>
      </c>
      <c r="B3" s="89" t="s">
        <v>57</v>
      </c>
      <c r="C3" s="10"/>
      <c r="D3" s="11"/>
      <c r="E3" s="5"/>
      <c r="F3" s="5"/>
      <c r="G3" s="5"/>
      <c r="H3" s="5"/>
    </row>
    <row r="4" spans="1:8" x14ac:dyDescent="0.3">
      <c r="A4" s="5"/>
      <c r="B4" s="5"/>
      <c r="C4" s="5"/>
      <c r="D4" s="5"/>
      <c r="E4" s="5"/>
      <c r="F4" s="5"/>
      <c r="G4" s="5"/>
      <c r="H4" s="5"/>
    </row>
    <row r="5" spans="1:8" x14ac:dyDescent="0.3">
      <c r="A5" s="6" t="s">
        <v>58</v>
      </c>
      <c r="B5" s="87" t="s">
        <v>59</v>
      </c>
      <c r="C5" s="88"/>
      <c r="D5" s="157"/>
      <c r="E5" s="5"/>
      <c r="F5" s="5"/>
      <c r="G5" s="5"/>
      <c r="H5" s="5"/>
    </row>
    <row r="6" spans="1:8" x14ac:dyDescent="0.3">
      <c r="A6" s="6" t="s">
        <v>60</v>
      </c>
      <c r="B6" s="99">
        <v>47</v>
      </c>
      <c r="C6" s="158"/>
      <c r="D6" s="159"/>
      <c r="E6" s="5"/>
      <c r="F6" s="5"/>
      <c r="G6" s="5"/>
      <c r="H6" s="5"/>
    </row>
    <row r="7" spans="1:8" x14ac:dyDescent="0.3">
      <c r="A7" s="6" t="s">
        <v>61</v>
      </c>
      <c r="B7" s="160" t="s">
        <v>62</v>
      </c>
      <c r="C7" s="88"/>
      <c r="D7" s="157"/>
      <c r="E7" s="5"/>
      <c r="F7" s="5"/>
      <c r="G7" s="5"/>
      <c r="H7" s="5"/>
    </row>
    <row r="8" spans="1:8" x14ac:dyDescent="0.3">
      <c r="A8" s="6" t="s">
        <v>63</v>
      </c>
      <c r="B8" s="160" t="s">
        <v>64</v>
      </c>
      <c r="C8" s="88"/>
      <c r="D8" s="157"/>
      <c r="E8" s="5"/>
      <c r="F8" s="5"/>
      <c r="G8" s="5"/>
      <c r="H8" s="5"/>
    </row>
    <row r="9" spans="1:8" x14ac:dyDescent="0.3">
      <c r="A9" s="6" t="s">
        <v>65</v>
      </c>
      <c r="B9" s="87" t="s">
        <v>66</v>
      </c>
      <c r="C9" s="88"/>
      <c r="D9" s="157"/>
      <c r="E9" s="5"/>
      <c r="F9" s="5"/>
      <c r="G9" s="5"/>
      <c r="H9" s="5"/>
    </row>
    <row r="10" spans="1:8" x14ac:dyDescent="0.3">
      <c r="A10" s="6" t="s">
        <v>67</v>
      </c>
      <c r="B10" s="87" t="s">
        <v>68</v>
      </c>
      <c r="C10" s="88"/>
      <c r="D10" s="157"/>
      <c r="E10" s="5"/>
      <c r="F10" s="5"/>
      <c r="G10" s="5"/>
      <c r="H10" s="5"/>
    </row>
    <row r="11" spans="1:8" x14ac:dyDescent="0.3">
      <c r="A11" s="6" t="s">
        <v>69</v>
      </c>
      <c r="B11" s="87" t="s">
        <v>70</v>
      </c>
      <c r="C11" s="88"/>
      <c r="D11" s="157"/>
      <c r="E11" s="5"/>
      <c r="F11" s="5"/>
      <c r="G11" s="5"/>
      <c r="H11" s="5"/>
    </row>
    <row r="12" spans="1:8" x14ac:dyDescent="0.3">
      <c r="A12" s="6" t="s">
        <v>71</v>
      </c>
      <c r="B12" s="87" t="s">
        <v>72</v>
      </c>
      <c r="C12" s="88"/>
      <c r="D12" s="157"/>
      <c r="E12" s="5"/>
      <c r="F12" s="5"/>
      <c r="G12" s="5"/>
      <c r="H12" s="5"/>
    </row>
    <row r="13" spans="1:8" x14ac:dyDescent="0.3">
      <c r="A13" s="6" t="s">
        <v>73</v>
      </c>
      <c r="B13" s="87" t="s">
        <v>74</v>
      </c>
      <c r="C13" s="88"/>
      <c r="D13" s="157"/>
      <c r="E13" s="5"/>
      <c r="F13" s="5"/>
      <c r="G13" s="5"/>
      <c r="H13" s="5"/>
    </row>
    <row r="14" spans="1:8" x14ac:dyDescent="0.3">
      <c r="A14" s="6" t="s">
        <v>75</v>
      </c>
      <c r="B14" s="87" t="s">
        <v>76</v>
      </c>
      <c r="C14" s="88"/>
      <c r="D14" s="157"/>
      <c r="E14" s="5"/>
      <c r="F14" s="5"/>
      <c r="G14" s="5"/>
      <c r="H14" s="5"/>
    </row>
    <row r="15" spans="1:8" x14ac:dyDescent="0.3">
      <c r="A15" s="5"/>
      <c r="B15" s="5"/>
      <c r="C15" s="5"/>
      <c r="D15" s="5"/>
      <c r="E15" s="5"/>
      <c r="F15" s="5"/>
      <c r="G15" s="5"/>
      <c r="H15" s="5"/>
    </row>
    <row r="16" spans="1:8" x14ac:dyDescent="0.3">
      <c r="A16" s="12" t="s">
        <v>77</v>
      </c>
      <c r="B16" s="13"/>
      <c r="C16" s="13"/>
      <c r="D16" s="13"/>
      <c r="E16" s="13"/>
      <c r="F16" s="13"/>
      <c r="G16" s="13"/>
      <c r="H16" s="13"/>
    </row>
    <row r="17" spans="1:8" x14ac:dyDescent="0.3">
      <c r="A17" s="5"/>
      <c r="B17" s="5"/>
      <c r="C17" s="5"/>
      <c r="D17" s="5"/>
      <c r="E17" s="5"/>
      <c r="F17" s="5"/>
      <c r="G17" s="5"/>
      <c r="H17" s="5"/>
    </row>
    <row r="18" spans="1:8" x14ac:dyDescent="0.3">
      <c r="A18" s="8" t="s">
        <v>78</v>
      </c>
      <c r="B18" s="8" t="s">
        <v>79</v>
      </c>
      <c r="C18" s="8" t="s">
        <v>80</v>
      </c>
      <c r="D18" s="8" t="s">
        <v>81</v>
      </c>
      <c r="E18" s="8" t="s">
        <v>82</v>
      </c>
      <c r="F18" s="8" t="s">
        <v>83</v>
      </c>
      <c r="G18" s="8" t="s">
        <v>84</v>
      </c>
      <c r="H18" s="8" t="s">
        <v>85</v>
      </c>
    </row>
    <row r="19" spans="1:8" x14ac:dyDescent="0.3">
      <c r="A19" s="27" t="s">
        <v>86</v>
      </c>
      <c r="B19" s="27" t="s">
        <v>87</v>
      </c>
      <c r="C19" s="28" t="s">
        <v>62</v>
      </c>
      <c r="D19" s="28" t="s">
        <v>88</v>
      </c>
      <c r="E19" s="27">
        <f>COUNTIF(Backlog!$F:$F,A19)</f>
        <v>3</v>
      </c>
      <c r="F19" s="27">
        <f>COUNTIFS(Backlog!$F:$F,A19,Backlog!$K:$K,"Hoàn thành")</f>
        <v>3</v>
      </c>
      <c r="G19" s="27">
        <f>COUNTIFS(Backlog!$F:$F,A19,Backlog!$K:$K,"Đang làm")</f>
        <v>0</v>
      </c>
      <c r="H19" s="27" t="s">
        <v>89</v>
      </c>
    </row>
    <row r="20" spans="1:8" x14ac:dyDescent="0.3">
      <c r="A20" s="29" t="s">
        <v>90</v>
      </c>
      <c r="B20" s="29" t="s">
        <v>91</v>
      </c>
      <c r="C20" s="30" t="s">
        <v>92</v>
      </c>
      <c r="D20" s="31" t="s">
        <v>93</v>
      </c>
      <c r="E20" s="29">
        <f>COUNTIF(Backlog!$F:$F,A20)</f>
        <v>3</v>
      </c>
      <c r="F20" s="29">
        <f>COUNTIFS(Backlog!$F:$F,A20,Backlog!$K:$K,"Hoàn thành")</f>
        <v>3</v>
      </c>
      <c r="G20" s="29">
        <f>COUNTIFS(Backlog!$F:$F,A20,Backlog!$K:$K,"Đang làm")</f>
        <v>0</v>
      </c>
      <c r="H20" s="29" t="s">
        <v>89</v>
      </c>
    </row>
    <row r="21" spans="1:8" ht="12.6" customHeight="1" x14ac:dyDescent="0.3">
      <c r="A21" s="27" t="s">
        <v>94</v>
      </c>
      <c r="B21" s="27" t="s">
        <v>95</v>
      </c>
      <c r="C21" s="27" t="s">
        <v>96</v>
      </c>
      <c r="D21" s="27" t="s">
        <v>97</v>
      </c>
      <c r="E21" s="27">
        <f>COUNTIF(Backlog!$F:$F,A21)</f>
        <v>6</v>
      </c>
      <c r="F21" s="27">
        <f>COUNTIFS(Backlog!$F:$F,A21,Backlog!$K:$K,"Hoàn thành")</f>
        <v>0</v>
      </c>
      <c r="G21" s="27">
        <f>COUNTIFS(Backlog!$F:$F,A21,Backlog!$K:$K,"Đang làm")</f>
        <v>6</v>
      </c>
      <c r="H21" s="27" t="s">
        <v>84</v>
      </c>
    </row>
    <row r="22" spans="1:8" x14ac:dyDescent="0.3">
      <c r="A22" s="29" t="s">
        <v>98</v>
      </c>
      <c r="B22" s="29" t="s">
        <v>99</v>
      </c>
      <c r="C22" s="29" t="s">
        <v>100</v>
      </c>
      <c r="D22" s="29" t="s">
        <v>101</v>
      </c>
      <c r="E22" s="29">
        <f>COUNTIF(Backlog!$F:$F,A22)</f>
        <v>6</v>
      </c>
      <c r="F22" s="29">
        <f>COUNTIFS(Backlog!$F:$F,A22,Backlog!$K:$K,"Hoàn thành")</f>
        <v>0</v>
      </c>
      <c r="G22" s="29">
        <f>COUNTIFS(Backlog!$F:$F,A22,Backlog!$K:$K,"Đang làm")</f>
        <v>0</v>
      </c>
      <c r="H22" s="29" t="s">
        <v>102</v>
      </c>
    </row>
    <row r="23" spans="1:8" s="26" customFormat="1" ht="12.6" customHeight="1" x14ac:dyDescent="0.25">
      <c r="A23" s="25" t="s">
        <v>103</v>
      </c>
      <c r="B23" s="25" t="s">
        <v>104</v>
      </c>
      <c r="C23" s="25" t="s">
        <v>105</v>
      </c>
      <c r="D23" s="25" t="s">
        <v>106</v>
      </c>
      <c r="E23" s="25">
        <f>COUNTIF(Backlog!$F:$F,A23)</f>
        <v>5</v>
      </c>
      <c r="F23" s="25">
        <f>COUNTIFS(Backlog!$F:$F,A23,Backlog!$K:$K,"Hoàn thành")</f>
        <v>0</v>
      </c>
      <c r="G23" s="25">
        <f>COUNTIFS(Backlog!$F:$F,A23,Backlog!$K:$K,"Đang làm")</f>
        <v>0</v>
      </c>
      <c r="H23" s="29" t="s">
        <v>102</v>
      </c>
    </row>
    <row r="24" spans="1:8" x14ac:dyDescent="0.3">
      <c r="A24" s="29" t="s">
        <v>107</v>
      </c>
      <c r="B24" s="29" t="s">
        <v>108</v>
      </c>
      <c r="C24" s="42">
        <v>46119</v>
      </c>
      <c r="D24" s="42">
        <v>46180</v>
      </c>
      <c r="E24" s="29">
        <f>COUNTIF(Backlog!$F:$F,A24)</f>
        <v>4</v>
      </c>
      <c r="F24" s="29">
        <f>COUNTIFS(Backlog!$F:$F,A24,Backlog!$K:$K,"Hoàn thành")</f>
        <v>0</v>
      </c>
      <c r="G24" s="29">
        <f>COUNTIFS(Backlog!$F:$F,A24,Backlog!$K:$K,"Đang làm")</f>
        <v>0</v>
      </c>
      <c r="H24" s="29" t="s">
        <v>102</v>
      </c>
    </row>
    <row r="25" spans="1:8" ht="12.6" customHeight="1" x14ac:dyDescent="0.3">
      <c r="A25" s="35"/>
      <c r="B25" s="35"/>
      <c r="C25" s="43"/>
      <c r="D25" s="43"/>
      <c r="E25" s="32"/>
      <c r="F25" s="32"/>
      <c r="G25" s="32"/>
      <c r="H25" s="32"/>
    </row>
    <row r="26" spans="1:8" ht="12.6" customHeight="1" x14ac:dyDescent="0.3">
      <c r="A26" s="37" t="s">
        <v>110</v>
      </c>
      <c r="B26" s="34"/>
      <c r="C26" s="34"/>
      <c r="D26" s="25"/>
      <c r="E26" s="25"/>
      <c r="F26" s="25"/>
      <c r="G26" s="25"/>
      <c r="H26" s="25"/>
    </row>
    <row r="27" spans="1:8" x14ac:dyDescent="0.3">
      <c r="A27" s="37"/>
      <c r="B27" s="34"/>
      <c r="C27" s="34"/>
      <c r="D27" s="25"/>
      <c r="E27" s="25"/>
      <c r="F27" s="25"/>
      <c r="G27" s="25"/>
      <c r="H27" s="25"/>
    </row>
    <row r="28" spans="1:8" x14ac:dyDescent="0.3">
      <c r="A28" s="37" t="s">
        <v>111</v>
      </c>
      <c r="B28" s="44">
        <f>COUNTA('Danh sách User Story'!A5:A20)</f>
        <v>16</v>
      </c>
      <c r="C28" s="44" t="s">
        <v>112</v>
      </c>
      <c r="D28" s="25"/>
      <c r="E28" s="25"/>
      <c r="F28" s="25"/>
      <c r="G28" s="25"/>
      <c r="H28" s="25"/>
    </row>
    <row r="29" spans="1:8" x14ac:dyDescent="0.3">
      <c r="A29" s="37" t="s">
        <v>113</v>
      </c>
      <c r="B29" s="44" t="str">
        <f>COUNTIF('Danh sách User Story'!H5:H20,"Hoàn thành")&amp;" / "&amp;COUNTA('Danh sách User Story'!A5:A20)</f>
        <v>4 / 16</v>
      </c>
      <c r="C29" s="44"/>
      <c r="D29" s="25"/>
      <c r="E29" s="25"/>
      <c r="F29" s="25"/>
      <c r="G29" s="25"/>
      <c r="H29" s="25"/>
    </row>
    <row r="30" spans="1:8" x14ac:dyDescent="0.3">
      <c r="A30" s="37" t="s">
        <v>114</v>
      </c>
      <c r="B30" s="44">
        <f>COUNTIF('Theo dõi lỗi'!K5:K35,"Mở")</f>
        <v>6</v>
      </c>
      <c r="C30" s="44" t="s">
        <v>115</v>
      </c>
      <c r="D30" s="25"/>
      <c r="E30" s="25"/>
      <c r="F30" s="25"/>
      <c r="G30" s="25"/>
      <c r="H30" s="25"/>
    </row>
    <row r="31" spans="1:8" x14ac:dyDescent="0.3">
      <c r="A31" s="37" t="s">
        <v>116</v>
      </c>
      <c r="B31" s="44"/>
      <c r="C31" s="44" t="s">
        <v>117</v>
      </c>
      <c r="D31" s="25"/>
      <c r="E31" s="25"/>
      <c r="F31" s="25"/>
      <c r="G31" s="25"/>
      <c r="H31" s="25"/>
    </row>
    <row r="32" spans="1:8" x14ac:dyDescent="0.3">
      <c r="A32" s="45" t="s">
        <v>118</v>
      </c>
      <c r="B32" s="36"/>
      <c r="C32" s="36" t="s">
        <v>119</v>
      </c>
      <c r="D32" s="26"/>
      <c r="E32" s="26"/>
      <c r="F32" s="26"/>
      <c r="G32" s="26"/>
      <c r="H32" s="26"/>
    </row>
    <row r="33" spans="1:8" x14ac:dyDescent="0.3">
      <c r="A33" s="45" t="s">
        <v>120</v>
      </c>
      <c r="B33" s="36" t="s">
        <v>121</v>
      </c>
      <c r="C33" s="36"/>
      <c r="D33" s="26"/>
      <c r="E33" s="26"/>
      <c r="F33" s="26"/>
      <c r="G33" s="26"/>
      <c r="H33" s="26"/>
    </row>
    <row r="34" spans="1:8" ht="12.6" customHeight="1" x14ac:dyDescent="0.3"/>
    <row r="35" spans="1:8" ht="12.6" customHeight="1" x14ac:dyDescent="0.3"/>
    <row r="36" spans="1:8" ht="12.6" customHeight="1" x14ac:dyDescent="0.3"/>
    <row r="37" spans="1:8" ht="12.6" customHeight="1" x14ac:dyDescent="0.3"/>
    <row r="38" spans="1:8" ht="12.6" customHeight="1" x14ac:dyDescent="0.3"/>
    <row r="39" spans="1:8" ht="12.6" customHeight="1" x14ac:dyDescent="0.3"/>
    <row r="40" spans="1:8" ht="12.6" customHeight="1" x14ac:dyDescent="0.3"/>
    <row r="41" spans="1:8" ht="12.6" customHeight="1" x14ac:dyDescent="0.3"/>
    <row r="42" spans="1:8" ht="12.6" customHeight="1" x14ac:dyDescent="0.3"/>
    <row r="43" spans="1:8" ht="12.6" customHeight="1" x14ac:dyDescent="0.3"/>
    <row r="44" spans="1:8" ht="12.6" customHeight="1" x14ac:dyDescent="0.3"/>
    <row r="45" spans="1:8" ht="12.6" customHeight="1" x14ac:dyDescent="0.3"/>
    <row r="46" spans="1:8" ht="12.6" customHeight="1" x14ac:dyDescent="0.3"/>
    <row r="47" spans="1:8" ht="12.6" customHeight="1" x14ac:dyDescent="0.3"/>
    <row r="48" spans="1:8" ht="12.6" customHeight="1" x14ac:dyDescent="0.3"/>
    <row r="49" ht="12.6" customHeight="1" x14ac:dyDescent="0.3"/>
    <row r="50" ht="12.6" customHeight="1" x14ac:dyDescent="0.3"/>
    <row r="51" ht="12.6" customHeight="1" x14ac:dyDescent="0.3"/>
    <row r="52" ht="12.6" customHeight="1" x14ac:dyDescent="0.3"/>
    <row r="53" ht="12.6" customHeight="1" x14ac:dyDescent="0.3"/>
    <row r="54" ht="12.6" customHeight="1" x14ac:dyDescent="0.3"/>
    <row r="55" ht="12.6" customHeight="1" x14ac:dyDescent="0.3"/>
    <row r="56" ht="12.6" customHeight="1" x14ac:dyDescent="0.3"/>
    <row r="57" ht="12.6" customHeight="1" x14ac:dyDescent="0.3"/>
    <row r="58" ht="12.6" customHeight="1" x14ac:dyDescent="0.3"/>
    <row r="59" ht="12.6" customHeight="1" x14ac:dyDescent="0.3"/>
    <row r="60" ht="12.6" customHeight="1" x14ac:dyDescent="0.3"/>
    <row r="61" ht="12.6" customHeight="1" x14ac:dyDescent="0.3"/>
    <row r="62" ht="12.6" customHeight="1" x14ac:dyDescent="0.3"/>
    <row r="63" ht="12.6" customHeight="1" x14ac:dyDescent="0.3"/>
    <row r="64" ht="12.6" customHeight="1" x14ac:dyDescent="0.3"/>
    <row r="65" ht="12.6" customHeight="1" x14ac:dyDescent="0.3"/>
    <row r="66" ht="12.6" customHeight="1" x14ac:dyDescent="0.3"/>
    <row r="67" ht="12.6" customHeight="1" x14ac:dyDescent="0.3"/>
    <row r="68" ht="12.6" customHeight="1" x14ac:dyDescent="0.3"/>
    <row r="69" ht="12.6" customHeight="1" x14ac:dyDescent="0.3"/>
    <row r="70" ht="12.6" customHeight="1" x14ac:dyDescent="0.3"/>
    <row r="71" ht="12.6" customHeight="1" x14ac:dyDescent="0.3"/>
    <row r="72" ht="12.6" customHeight="1" x14ac:dyDescent="0.3"/>
    <row r="73" ht="12.6" customHeight="1" x14ac:dyDescent="0.3"/>
    <row r="74" ht="12.6" customHeight="1" x14ac:dyDescent="0.3"/>
    <row r="75" ht="12.6" customHeight="1" x14ac:dyDescent="0.3"/>
    <row r="76" ht="12.6" customHeight="1" x14ac:dyDescent="0.3"/>
    <row r="77" ht="12.6" customHeight="1" x14ac:dyDescent="0.3"/>
    <row r="78" ht="12.6" customHeight="1" x14ac:dyDescent="0.3"/>
    <row r="79" ht="12.6" customHeight="1" x14ac:dyDescent="0.3"/>
    <row r="80" ht="12.6" customHeight="1" x14ac:dyDescent="0.3"/>
    <row r="81" ht="12.6" customHeight="1" x14ac:dyDescent="0.3"/>
    <row r="82" ht="12.6" customHeight="1" x14ac:dyDescent="0.3"/>
    <row r="83" ht="12.6" customHeight="1" x14ac:dyDescent="0.3"/>
    <row r="84" ht="12.6" customHeight="1" x14ac:dyDescent="0.3"/>
    <row r="85" ht="12.6" customHeight="1" x14ac:dyDescent="0.3"/>
    <row r="86" ht="12.6" customHeight="1" x14ac:dyDescent="0.3"/>
    <row r="87" ht="12.6" customHeight="1" x14ac:dyDescent="0.3"/>
    <row r="88" ht="12.6" customHeight="1" x14ac:dyDescent="0.3"/>
    <row r="89" ht="12.6" customHeight="1" x14ac:dyDescent="0.3"/>
    <row r="90" ht="12.6" customHeight="1" x14ac:dyDescent="0.3"/>
    <row r="91" ht="12.6" customHeight="1" x14ac:dyDescent="0.3"/>
    <row r="92" ht="12.6" customHeight="1" x14ac:dyDescent="0.3"/>
    <row r="93" ht="12.6" customHeight="1" x14ac:dyDescent="0.3"/>
    <row r="94" ht="12.6" customHeight="1" x14ac:dyDescent="0.3"/>
    <row r="95" ht="12.6" customHeight="1" x14ac:dyDescent="0.3"/>
    <row r="96" ht="12.6" customHeight="1" x14ac:dyDescent="0.3"/>
    <row r="97" ht="12.6" customHeight="1" x14ac:dyDescent="0.3"/>
    <row r="98" ht="12.6" customHeight="1" x14ac:dyDescent="0.3"/>
    <row r="99" ht="12.6" customHeight="1" x14ac:dyDescent="0.3"/>
    <row r="100" ht="12.6" customHeight="1" x14ac:dyDescent="0.3"/>
    <row r="101" ht="12.6" customHeight="1" x14ac:dyDescent="0.3"/>
    <row r="102" ht="12.6" customHeight="1" x14ac:dyDescent="0.3"/>
    <row r="103" ht="12.6" customHeight="1" x14ac:dyDescent="0.3"/>
    <row r="104" ht="12.6" customHeight="1" x14ac:dyDescent="0.3"/>
    <row r="105" ht="12.6" customHeight="1" x14ac:dyDescent="0.3"/>
    <row r="106" ht="12.6" customHeight="1" x14ac:dyDescent="0.3"/>
    <row r="107" ht="12.6" customHeight="1" x14ac:dyDescent="0.3"/>
    <row r="108" ht="12.6" customHeight="1" x14ac:dyDescent="0.3"/>
    <row r="109" ht="12.6" customHeight="1" x14ac:dyDescent="0.3"/>
    <row r="110" ht="12.6" customHeight="1" x14ac:dyDescent="0.3"/>
    <row r="111" ht="12.6" customHeight="1" x14ac:dyDescent="0.3"/>
    <row r="112" ht="12.6" customHeight="1" x14ac:dyDescent="0.3"/>
    <row r="113" ht="12.6" customHeight="1" x14ac:dyDescent="0.3"/>
    <row r="114" ht="12.6" customHeight="1" x14ac:dyDescent="0.3"/>
    <row r="115" ht="12.6" customHeight="1" x14ac:dyDescent="0.3"/>
    <row r="116" ht="12.6" customHeight="1" x14ac:dyDescent="0.3"/>
    <row r="117" ht="12.6" customHeight="1" x14ac:dyDescent="0.3"/>
    <row r="118" ht="12.6" customHeight="1" x14ac:dyDescent="0.3"/>
    <row r="119" ht="12.6" customHeight="1" x14ac:dyDescent="0.3"/>
    <row r="120" ht="12.6" customHeight="1" x14ac:dyDescent="0.3"/>
    <row r="121" ht="12.6" customHeight="1" x14ac:dyDescent="0.3"/>
    <row r="122" ht="12.6" customHeight="1" x14ac:dyDescent="0.3"/>
    <row r="123" ht="12.6" customHeight="1" x14ac:dyDescent="0.3"/>
    <row r="124" ht="12.6" customHeight="1" x14ac:dyDescent="0.3"/>
    <row r="125" ht="12.6" customHeight="1" x14ac:dyDescent="0.3"/>
    <row r="126" ht="12.6" customHeight="1" x14ac:dyDescent="0.3"/>
    <row r="127" ht="12.6" customHeight="1" x14ac:dyDescent="0.3"/>
    <row r="128" ht="12.6" customHeight="1" x14ac:dyDescent="0.3"/>
    <row r="129" ht="12.6" customHeight="1" x14ac:dyDescent="0.3"/>
    <row r="130" ht="12.6" customHeight="1" x14ac:dyDescent="0.3"/>
    <row r="131" ht="12.6" customHeight="1" x14ac:dyDescent="0.3"/>
    <row r="132" ht="12.6" customHeight="1" x14ac:dyDescent="0.3"/>
    <row r="133" ht="12.6" customHeight="1" x14ac:dyDescent="0.3"/>
    <row r="134" ht="12.6" customHeight="1" x14ac:dyDescent="0.3"/>
    <row r="135" ht="12.6" customHeight="1" x14ac:dyDescent="0.3"/>
    <row r="136" ht="12.6" customHeight="1" x14ac:dyDescent="0.3"/>
    <row r="137" ht="12.6" customHeight="1" x14ac:dyDescent="0.3"/>
    <row r="138" ht="12.6" customHeight="1" x14ac:dyDescent="0.3"/>
    <row r="139" ht="12.6" customHeight="1" x14ac:dyDescent="0.3"/>
    <row r="140" ht="12.6" customHeight="1" x14ac:dyDescent="0.3"/>
    <row r="141" ht="12.6" customHeight="1" x14ac:dyDescent="0.3"/>
    <row r="142" ht="12.6" customHeight="1" x14ac:dyDescent="0.3"/>
    <row r="143" ht="12.6" customHeight="1" x14ac:dyDescent="0.3"/>
    <row r="144" ht="12.6" customHeight="1" x14ac:dyDescent="0.3"/>
    <row r="145" ht="12.6" customHeight="1" x14ac:dyDescent="0.3"/>
    <row r="146" ht="12.6" customHeight="1" x14ac:dyDescent="0.3"/>
    <row r="147" ht="12.6" customHeight="1" x14ac:dyDescent="0.3"/>
    <row r="148" ht="12.6" customHeight="1" x14ac:dyDescent="0.3"/>
    <row r="149" ht="12.6" customHeight="1" x14ac:dyDescent="0.3"/>
    <row r="150" ht="12.6" customHeight="1" x14ac:dyDescent="0.3"/>
    <row r="151" ht="12.6" customHeight="1" x14ac:dyDescent="0.3"/>
    <row r="152" ht="12.6" customHeight="1" x14ac:dyDescent="0.3"/>
    <row r="153" ht="12.6" customHeight="1" x14ac:dyDescent="0.3"/>
    <row r="154" ht="12.6" customHeight="1" x14ac:dyDescent="0.3"/>
    <row r="155" ht="12.6" customHeight="1" x14ac:dyDescent="0.3"/>
    <row r="156" ht="12.6" customHeight="1" x14ac:dyDescent="0.3"/>
    <row r="157" ht="12.6" customHeight="1" x14ac:dyDescent="0.3"/>
    <row r="158" ht="12.6" customHeight="1" x14ac:dyDescent="0.3"/>
    <row r="159" ht="12.6" customHeight="1" x14ac:dyDescent="0.3"/>
    <row r="160" ht="12.6" customHeight="1" x14ac:dyDescent="0.3"/>
    <row r="161" ht="12.6" customHeight="1" x14ac:dyDescent="0.3"/>
    <row r="162" ht="12.6" customHeight="1" x14ac:dyDescent="0.3"/>
    <row r="163" ht="12.6" customHeight="1" x14ac:dyDescent="0.3"/>
    <row r="164" ht="12.6" customHeight="1" x14ac:dyDescent="0.3"/>
    <row r="165" ht="12.6" customHeight="1" x14ac:dyDescent="0.3"/>
    <row r="166" ht="12.6" customHeight="1" x14ac:dyDescent="0.3"/>
    <row r="167" ht="12.6" customHeight="1" x14ac:dyDescent="0.3"/>
    <row r="168" ht="12.6" customHeight="1" x14ac:dyDescent="0.3"/>
    <row r="169" ht="12.6" customHeight="1" x14ac:dyDescent="0.3"/>
    <row r="170" ht="12.6" customHeight="1" x14ac:dyDescent="0.3"/>
    <row r="171" ht="12.6" customHeight="1" x14ac:dyDescent="0.3"/>
    <row r="172" ht="12.6" customHeight="1" x14ac:dyDescent="0.3"/>
    <row r="173" ht="12.6" customHeight="1" x14ac:dyDescent="0.3"/>
    <row r="174" ht="12.6" customHeight="1" x14ac:dyDescent="0.3"/>
    <row r="175" ht="12.6" customHeight="1" x14ac:dyDescent="0.3"/>
    <row r="176" ht="12.6" customHeight="1" x14ac:dyDescent="0.3"/>
    <row r="177" ht="12.6" customHeight="1" x14ac:dyDescent="0.3"/>
    <row r="178" ht="12.6" customHeight="1" x14ac:dyDescent="0.3"/>
    <row r="179" ht="12.6" customHeight="1" x14ac:dyDescent="0.3"/>
    <row r="180" ht="12.6" customHeight="1" x14ac:dyDescent="0.3"/>
    <row r="181" ht="12.6" customHeight="1" x14ac:dyDescent="0.3"/>
    <row r="182" ht="12.6" customHeight="1" x14ac:dyDescent="0.3"/>
    <row r="183" ht="12.6" customHeight="1" x14ac:dyDescent="0.3"/>
    <row r="184" ht="12.6" customHeight="1" x14ac:dyDescent="0.3"/>
    <row r="185" ht="12.6" customHeight="1" x14ac:dyDescent="0.3"/>
    <row r="186" ht="12.6" customHeight="1" x14ac:dyDescent="0.3"/>
    <row r="187" ht="12.6" customHeight="1" x14ac:dyDescent="0.3"/>
    <row r="188" ht="12.6" customHeight="1" x14ac:dyDescent="0.3"/>
    <row r="189" ht="12.6" customHeight="1" x14ac:dyDescent="0.3"/>
    <row r="190" ht="12.6" customHeight="1" x14ac:dyDescent="0.3"/>
    <row r="191" ht="12.6" customHeight="1" x14ac:dyDescent="0.3"/>
    <row r="192" ht="12.6" customHeight="1" x14ac:dyDescent="0.3"/>
    <row r="193" ht="12.6" customHeight="1" x14ac:dyDescent="0.3"/>
    <row r="194" ht="12.6" customHeight="1" x14ac:dyDescent="0.3"/>
    <row r="195" ht="12.6" customHeight="1" x14ac:dyDescent="0.3"/>
    <row r="196" ht="12.6" customHeight="1" x14ac:dyDescent="0.3"/>
    <row r="197" ht="12.6" customHeight="1" x14ac:dyDescent="0.3"/>
    <row r="198" ht="12.6" customHeight="1" x14ac:dyDescent="0.3"/>
    <row r="199" ht="12.6" customHeight="1" x14ac:dyDescent="0.3"/>
    <row r="200" ht="12.6" customHeight="1" x14ac:dyDescent="0.3"/>
    <row r="201" ht="12.6" customHeight="1" x14ac:dyDescent="0.3"/>
    <row r="202" ht="12.6" customHeight="1" x14ac:dyDescent="0.3"/>
    <row r="203" ht="12.6" customHeight="1" x14ac:dyDescent="0.3"/>
    <row r="204" ht="12.6" customHeight="1" x14ac:dyDescent="0.3"/>
    <row r="205" ht="12.6" customHeight="1" x14ac:dyDescent="0.3"/>
    <row r="206" ht="12.6" customHeight="1" x14ac:dyDescent="0.3"/>
    <row r="207" ht="12.6" customHeight="1" x14ac:dyDescent="0.3"/>
    <row r="208" ht="12.6" customHeight="1" x14ac:dyDescent="0.3"/>
    <row r="209" ht="12.6" customHeight="1" x14ac:dyDescent="0.3"/>
    <row r="210" ht="12.6" customHeight="1" x14ac:dyDescent="0.3"/>
    <row r="211" ht="12.6" customHeight="1" x14ac:dyDescent="0.3"/>
    <row r="212" ht="12.6" customHeight="1" x14ac:dyDescent="0.3"/>
    <row r="213" ht="12.6" customHeight="1" x14ac:dyDescent="0.3"/>
    <row r="214" ht="12.6" customHeight="1" x14ac:dyDescent="0.3"/>
    <row r="215" ht="12.6" customHeight="1" x14ac:dyDescent="0.3"/>
    <row r="216" ht="12.6" customHeight="1" x14ac:dyDescent="0.3"/>
    <row r="217" ht="12.6" customHeight="1" x14ac:dyDescent="0.3"/>
    <row r="218" ht="12.6" customHeight="1" x14ac:dyDescent="0.3"/>
    <row r="219" ht="12.6" customHeight="1" x14ac:dyDescent="0.3"/>
    <row r="220" ht="12.6" customHeight="1" x14ac:dyDescent="0.3"/>
    <row r="221" ht="12.6" customHeight="1" x14ac:dyDescent="0.3"/>
    <row r="222" ht="12.6" customHeight="1" x14ac:dyDescent="0.3"/>
    <row r="223" ht="12.6" customHeight="1" x14ac:dyDescent="0.3"/>
    <row r="224" ht="12.6" customHeight="1" x14ac:dyDescent="0.3"/>
    <row r="225" ht="12.6" customHeight="1" x14ac:dyDescent="0.3"/>
    <row r="226" ht="12.6" customHeight="1" x14ac:dyDescent="0.3"/>
    <row r="227" ht="12.6" customHeight="1" x14ac:dyDescent="0.3"/>
    <row r="228" ht="12.6" customHeight="1" x14ac:dyDescent="0.3"/>
    <row r="229" ht="12.6" customHeight="1" x14ac:dyDescent="0.3"/>
    <row r="230" ht="12.6" customHeight="1" x14ac:dyDescent="0.3"/>
    <row r="231" ht="12.6" customHeight="1" x14ac:dyDescent="0.3"/>
    <row r="232" ht="12.6" customHeight="1" x14ac:dyDescent="0.3"/>
    <row r="233" ht="12.6" customHeight="1" x14ac:dyDescent="0.3"/>
    <row r="234" ht="12.6" customHeight="1" x14ac:dyDescent="0.3"/>
    <row r="235" ht="12.6" customHeight="1" x14ac:dyDescent="0.3"/>
    <row r="236" ht="12.6" customHeight="1" x14ac:dyDescent="0.3"/>
    <row r="237" ht="12.6" customHeight="1" x14ac:dyDescent="0.3"/>
    <row r="238" ht="12.6" customHeight="1" x14ac:dyDescent="0.3"/>
    <row r="239" ht="12.6" customHeight="1" x14ac:dyDescent="0.3"/>
    <row r="240" ht="12.6" customHeight="1" x14ac:dyDescent="0.3"/>
    <row r="241" ht="12.6" customHeight="1" x14ac:dyDescent="0.3"/>
    <row r="242" ht="12.6" customHeight="1" x14ac:dyDescent="0.3"/>
    <row r="243" ht="12.6" customHeight="1" x14ac:dyDescent="0.3"/>
    <row r="244" ht="12.6" customHeight="1" x14ac:dyDescent="0.3"/>
    <row r="245" ht="12.6" customHeight="1" x14ac:dyDescent="0.3"/>
    <row r="246" ht="12.6" customHeight="1" x14ac:dyDescent="0.3"/>
    <row r="247" ht="12.6" customHeight="1" x14ac:dyDescent="0.3"/>
    <row r="248" ht="12.6" customHeight="1" x14ac:dyDescent="0.3"/>
    <row r="249" ht="12.6" customHeight="1" x14ac:dyDescent="0.3"/>
    <row r="250" ht="12.6" customHeight="1" x14ac:dyDescent="0.3"/>
    <row r="251" ht="12.6" customHeight="1" x14ac:dyDescent="0.3"/>
    <row r="252" ht="12.6" customHeight="1" x14ac:dyDescent="0.3"/>
    <row r="253" ht="12.6" customHeight="1" x14ac:dyDescent="0.3"/>
    <row r="254" ht="12.6" customHeight="1" x14ac:dyDescent="0.3"/>
    <row r="255" ht="12.6" customHeight="1" x14ac:dyDescent="0.3"/>
    <row r="256" ht="12.6" customHeight="1" x14ac:dyDescent="0.3"/>
    <row r="257" ht="12.6" customHeight="1" x14ac:dyDescent="0.3"/>
    <row r="258" ht="12.6" customHeight="1" x14ac:dyDescent="0.3"/>
    <row r="259" ht="12.6" customHeight="1" x14ac:dyDescent="0.3"/>
    <row r="260" ht="12.6" customHeight="1" x14ac:dyDescent="0.3"/>
    <row r="261" ht="12.6" customHeight="1" x14ac:dyDescent="0.3"/>
    <row r="262" ht="12.6" customHeight="1" x14ac:dyDescent="0.3"/>
    <row r="263" ht="12.6" customHeight="1" x14ac:dyDescent="0.3"/>
    <row r="264" ht="12.6" customHeight="1" x14ac:dyDescent="0.3"/>
    <row r="265" ht="12.6" customHeight="1" x14ac:dyDescent="0.3"/>
    <row r="266" ht="12.6" customHeight="1" x14ac:dyDescent="0.3"/>
    <row r="267" ht="12.6" customHeight="1" x14ac:dyDescent="0.3"/>
    <row r="268" ht="12.6" customHeight="1" x14ac:dyDescent="0.3"/>
    <row r="269" ht="12.6" customHeight="1" x14ac:dyDescent="0.3"/>
    <row r="270" ht="12.6" customHeight="1" x14ac:dyDescent="0.3"/>
    <row r="271" ht="12.6" customHeight="1" x14ac:dyDescent="0.3"/>
    <row r="272" ht="12.6" customHeight="1" x14ac:dyDescent="0.3"/>
    <row r="273" ht="12.6" customHeight="1" x14ac:dyDescent="0.3"/>
    <row r="274" ht="12.6" customHeight="1" x14ac:dyDescent="0.3"/>
    <row r="275" ht="12.6" customHeight="1" x14ac:dyDescent="0.3"/>
    <row r="276" ht="12.6" customHeight="1" x14ac:dyDescent="0.3"/>
    <row r="277" ht="12.6" customHeight="1" x14ac:dyDescent="0.3"/>
    <row r="278" ht="12.6" customHeight="1" x14ac:dyDescent="0.3"/>
    <row r="279" ht="12.6" customHeight="1" x14ac:dyDescent="0.3"/>
    <row r="280" ht="12.6" customHeight="1" x14ac:dyDescent="0.3"/>
    <row r="281" ht="12.6" customHeight="1" x14ac:dyDescent="0.3"/>
    <row r="282" ht="12.6" customHeight="1" x14ac:dyDescent="0.3"/>
    <row r="283" ht="12.6" customHeight="1" x14ac:dyDescent="0.3"/>
    <row r="284" ht="12.6" customHeight="1" x14ac:dyDescent="0.3"/>
    <row r="285" ht="12.6" customHeight="1" x14ac:dyDescent="0.3"/>
    <row r="286" ht="12.6" customHeight="1" x14ac:dyDescent="0.3"/>
    <row r="287" ht="12.6" customHeight="1" x14ac:dyDescent="0.3"/>
    <row r="288" ht="12.6" customHeight="1" x14ac:dyDescent="0.3"/>
    <row r="289" ht="12.6" customHeight="1" x14ac:dyDescent="0.3"/>
    <row r="290" ht="12.6" customHeight="1" x14ac:dyDescent="0.3"/>
    <row r="291" ht="12.6" customHeight="1" x14ac:dyDescent="0.3"/>
    <row r="292" ht="12.6" customHeight="1" x14ac:dyDescent="0.3"/>
    <row r="293" ht="12.6" customHeight="1" x14ac:dyDescent="0.3"/>
    <row r="294" ht="12.6" customHeight="1" x14ac:dyDescent="0.3"/>
    <row r="295" ht="12.6" customHeight="1" x14ac:dyDescent="0.3"/>
    <row r="296" ht="12.6" customHeight="1" x14ac:dyDescent="0.3"/>
    <row r="297" ht="12.6" customHeight="1" x14ac:dyDescent="0.3"/>
    <row r="298" ht="12.6" customHeight="1" x14ac:dyDescent="0.3"/>
    <row r="299" ht="12.6" customHeight="1" x14ac:dyDescent="0.3"/>
    <row r="300" ht="12.6" customHeight="1" x14ac:dyDescent="0.3"/>
    <row r="301" ht="12.6" customHeight="1" x14ac:dyDescent="0.3"/>
    <row r="302" ht="12.6" customHeight="1" x14ac:dyDescent="0.3"/>
    <row r="303" ht="12.6" customHeight="1" x14ac:dyDescent="0.3"/>
    <row r="304" ht="12.6" customHeight="1" x14ac:dyDescent="0.3"/>
    <row r="305" ht="12.6" customHeight="1" x14ac:dyDescent="0.3"/>
    <row r="306" ht="12.6" customHeight="1" x14ac:dyDescent="0.3"/>
    <row r="307" ht="12.6" customHeight="1" x14ac:dyDescent="0.3"/>
    <row r="308" ht="12.6" customHeight="1" x14ac:dyDescent="0.3"/>
    <row r="309" ht="12.6" customHeight="1" x14ac:dyDescent="0.3"/>
    <row r="310" ht="12.6" customHeight="1" x14ac:dyDescent="0.3"/>
    <row r="311" ht="12.6" customHeight="1" x14ac:dyDescent="0.3"/>
    <row r="312" ht="12.6" customHeight="1" x14ac:dyDescent="0.3"/>
    <row r="313" ht="12.6" customHeight="1" x14ac:dyDescent="0.3"/>
    <row r="314" ht="12.6" customHeight="1" x14ac:dyDescent="0.3"/>
    <row r="315" ht="12.6" customHeight="1" x14ac:dyDescent="0.3"/>
    <row r="316" ht="12.6" customHeight="1" x14ac:dyDescent="0.3"/>
    <row r="317" ht="12.6" customHeight="1" x14ac:dyDescent="0.3"/>
    <row r="318" ht="12.6" customHeight="1" x14ac:dyDescent="0.3"/>
    <row r="319" ht="12.6" customHeight="1" x14ac:dyDescent="0.3"/>
    <row r="320" ht="12.6" customHeight="1" x14ac:dyDescent="0.3"/>
    <row r="321" ht="12.6" customHeight="1" x14ac:dyDescent="0.3"/>
    <row r="322" ht="12.6" customHeight="1" x14ac:dyDescent="0.3"/>
    <row r="323" ht="12.6" customHeight="1" x14ac:dyDescent="0.3"/>
    <row r="324" ht="12.6" customHeight="1" x14ac:dyDescent="0.3"/>
    <row r="325" ht="12.6" customHeight="1" x14ac:dyDescent="0.3"/>
    <row r="326" ht="12.6" customHeight="1" x14ac:dyDescent="0.3"/>
    <row r="327" ht="12.6" customHeight="1" x14ac:dyDescent="0.3"/>
    <row r="328" ht="12.6" customHeight="1" x14ac:dyDescent="0.3"/>
    <row r="329" ht="12.6" customHeight="1" x14ac:dyDescent="0.3"/>
    <row r="330" ht="12.6" customHeight="1" x14ac:dyDescent="0.3"/>
    <row r="331" ht="12.6" customHeight="1" x14ac:dyDescent="0.3"/>
    <row r="332" ht="12.6" customHeight="1" x14ac:dyDescent="0.3"/>
    <row r="333" ht="12.6" customHeight="1" x14ac:dyDescent="0.3"/>
    <row r="334" ht="12.6" customHeight="1" x14ac:dyDescent="0.3"/>
    <row r="335" ht="12.6" customHeight="1" x14ac:dyDescent="0.3"/>
    <row r="336" ht="12.6" customHeight="1" x14ac:dyDescent="0.3"/>
    <row r="337" ht="12.6" customHeight="1" x14ac:dyDescent="0.3"/>
    <row r="338" ht="12.6" customHeight="1" x14ac:dyDescent="0.3"/>
    <row r="339" ht="12.6" customHeight="1" x14ac:dyDescent="0.3"/>
    <row r="340" ht="12.6" customHeight="1" x14ac:dyDescent="0.3"/>
    <row r="341" ht="12.6" customHeight="1" x14ac:dyDescent="0.3"/>
    <row r="342" ht="12.6" customHeight="1" x14ac:dyDescent="0.3"/>
    <row r="343" ht="12.6" customHeight="1" x14ac:dyDescent="0.3"/>
    <row r="344" ht="12.6" customHeight="1" x14ac:dyDescent="0.3"/>
    <row r="345" ht="12.6" customHeight="1" x14ac:dyDescent="0.3"/>
    <row r="346" ht="12.6" customHeight="1" x14ac:dyDescent="0.3"/>
    <row r="347" ht="12.6" customHeight="1" x14ac:dyDescent="0.3"/>
    <row r="348" ht="12.6" customHeight="1" x14ac:dyDescent="0.3"/>
    <row r="349" ht="12.6" customHeight="1" x14ac:dyDescent="0.3"/>
    <row r="350" ht="12.6" customHeight="1" x14ac:dyDescent="0.3"/>
    <row r="351" ht="12.6" customHeight="1" x14ac:dyDescent="0.3"/>
    <row r="352" ht="12.6" customHeight="1" x14ac:dyDescent="0.3"/>
    <row r="353" ht="12.6" customHeight="1" x14ac:dyDescent="0.3"/>
    <row r="354" ht="12.6" customHeight="1" x14ac:dyDescent="0.3"/>
    <row r="355" ht="12.6" customHeight="1" x14ac:dyDescent="0.3"/>
    <row r="356" ht="12.6" customHeight="1" x14ac:dyDescent="0.3"/>
    <row r="357" ht="12.6" customHeight="1" x14ac:dyDescent="0.3"/>
    <row r="358" ht="12.6" customHeight="1" x14ac:dyDescent="0.3"/>
    <row r="359" ht="12.6" customHeight="1" x14ac:dyDescent="0.3"/>
    <row r="360" ht="12.6" customHeight="1" x14ac:dyDescent="0.3"/>
    <row r="361" ht="12.6" customHeight="1" x14ac:dyDescent="0.3"/>
    <row r="362" ht="12.6" customHeight="1" x14ac:dyDescent="0.3"/>
    <row r="363" ht="12.6" customHeight="1" x14ac:dyDescent="0.3"/>
    <row r="364" ht="12.6" customHeight="1" x14ac:dyDescent="0.3"/>
    <row r="365" ht="12.6" customHeight="1" x14ac:dyDescent="0.3"/>
    <row r="366" ht="12.6" customHeight="1" x14ac:dyDescent="0.3"/>
    <row r="367" ht="12.6" customHeight="1" x14ac:dyDescent="0.3"/>
    <row r="368" ht="12.6" customHeight="1" x14ac:dyDescent="0.3"/>
    <row r="369" ht="12.6" customHeight="1" x14ac:dyDescent="0.3"/>
    <row r="370" ht="12.6" customHeight="1" x14ac:dyDescent="0.3"/>
    <row r="371" ht="12.6" customHeight="1" x14ac:dyDescent="0.3"/>
    <row r="372" ht="12.6" customHeight="1" x14ac:dyDescent="0.3"/>
    <row r="373" ht="12.6" customHeight="1" x14ac:dyDescent="0.3"/>
    <row r="374" ht="12.6" customHeight="1" x14ac:dyDescent="0.3"/>
    <row r="375" ht="12.6" customHeight="1" x14ac:dyDescent="0.3"/>
    <row r="376" ht="12.6" customHeight="1" x14ac:dyDescent="0.3"/>
    <row r="377" ht="12.6" customHeight="1" x14ac:dyDescent="0.3"/>
    <row r="378" ht="12.6" customHeight="1" x14ac:dyDescent="0.3"/>
    <row r="379" ht="12.6" customHeight="1" x14ac:dyDescent="0.3"/>
    <row r="380" ht="12.6" customHeight="1" x14ac:dyDescent="0.3"/>
    <row r="381" ht="12.6" customHeight="1" x14ac:dyDescent="0.3"/>
    <row r="382" ht="12.6" customHeight="1" x14ac:dyDescent="0.3"/>
    <row r="383" ht="12.6" customHeight="1" x14ac:dyDescent="0.3"/>
    <row r="384" ht="12.6" customHeight="1" x14ac:dyDescent="0.3"/>
    <row r="385" ht="12.6" customHeight="1" x14ac:dyDescent="0.3"/>
    <row r="386" ht="12.6" customHeight="1" x14ac:dyDescent="0.3"/>
    <row r="387" ht="12.6" customHeight="1" x14ac:dyDescent="0.3"/>
    <row r="388" ht="12.6" customHeight="1" x14ac:dyDescent="0.3"/>
    <row r="389" ht="12.6" customHeight="1" x14ac:dyDescent="0.3"/>
    <row r="390" ht="12.6" customHeight="1" x14ac:dyDescent="0.3"/>
    <row r="391" ht="12.6" customHeight="1" x14ac:dyDescent="0.3"/>
    <row r="392" ht="12.6" customHeight="1" x14ac:dyDescent="0.3"/>
    <row r="393" ht="12.6" customHeight="1" x14ac:dyDescent="0.3"/>
    <row r="394" ht="12.6" customHeight="1" x14ac:dyDescent="0.3"/>
    <row r="395" ht="12.6" customHeight="1" x14ac:dyDescent="0.3"/>
    <row r="396" ht="12.6" customHeight="1" x14ac:dyDescent="0.3"/>
    <row r="397" ht="12.6" customHeight="1" x14ac:dyDescent="0.3"/>
    <row r="398" ht="12.6" customHeight="1" x14ac:dyDescent="0.3"/>
    <row r="399" ht="12.6" customHeight="1" x14ac:dyDescent="0.3"/>
    <row r="400" ht="12.6" customHeight="1" x14ac:dyDescent="0.3"/>
    <row r="401" ht="12.6" customHeight="1" x14ac:dyDescent="0.3"/>
    <row r="402" ht="12.6" customHeight="1" x14ac:dyDescent="0.3"/>
    <row r="403" ht="12.6" customHeight="1" x14ac:dyDescent="0.3"/>
    <row r="404" ht="12.6" customHeight="1" x14ac:dyDescent="0.3"/>
    <row r="405" ht="12.6" customHeight="1" x14ac:dyDescent="0.3"/>
    <row r="406" ht="12.6" customHeight="1" x14ac:dyDescent="0.3"/>
    <row r="407" ht="12.6" customHeight="1" x14ac:dyDescent="0.3"/>
    <row r="408" ht="12.6" customHeight="1" x14ac:dyDescent="0.3"/>
    <row r="409" ht="12.6" customHeight="1" x14ac:dyDescent="0.3"/>
    <row r="410" ht="12.6" customHeight="1" x14ac:dyDescent="0.3"/>
    <row r="411" ht="12.6" customHeight="1" x14ac:dyDescent="0.3"/>
    <row r="412" ht="12.6" customHeight="1" x14ac:dyDescent="0.3"/>
    <row r="413" ht="12.6" customHeight="1" x14ac:dyDescent="0.3"/>
    <row r="414" ht="12.6" customHeight="1" x14ac:dyDescent="0.3"/>
    <row r="415" ht="12.6" customHeight="1" x14ac:dyDescent="0.3"/>
    <row r="416" ht="12.6" customHeight="1" x14ac:dyDescent="0.3"/>
    <row r="417" ht="12.6" customHeight="1" x14ac:dyDescent="0.3"/>
    <row r="418" ht="12.6" customHeight="1" x14ac:dyDescent="0.3"/>
    <row r="419" ht="12.6" customHeight="1" x14ac:dyDescent="0.3"/>
    <row r="420" ht="12.6" customHeight="1" x14ac:dyDescent="0.3"/>
    <row r="421" ht="12.6" customHeight="1" x14ac:dyDescent="0.3"/>
    <row r="422" ht="12.6" customHeight="1" x14ac:dyDescent="0.3"/>
    <row r="423" ht="12.6" customHeight="1" x14ac:dyDescent="0.3"/>
    <row r="424" ht="12.6" customHeight="1" x14ac:dyDescent="0.3"/>
    <row r="425" ht="12.6" customHeight="1" x14ac:dyDescent="0.3"/>
    <row r="426" ht="12.6" customHeight="1" x14ac:dyDescent="0.3"/>
    <row r="427" ht="12.6" customHeight="1" x14ac:dyDescent="0.3"/>
    <row r="428" ht="12.6" customHeight="1" x14ac:dyDescent="0.3"/>
    <row r="429" ht="12.6" customHeight="1" x14ac:dyDescent="0.3"/>
    <row r="430" ht="12.6" customHeight="1" x14ac:dyDescent="0.3"/>
    <row r="431" ht="12.6" customHeight="1" x14ac:dyDescent="0.3"/>
    <row r="432" ht="12.6" customHeight="1" x14ac:dyDescent="0.3"/>
    <row r="433" ht="12.6" customHeight="1" x14ac:dyDescent="0.3"/>
    <row r="434" ht="12.6" customHeight="1" x14ac:dyDescent="0.3"/>
    <row r="435" ht="12.6" customHeight="1" x14ac:dyDescent="0.3"/>
    <row r="436" ht="12.6" customHeight="1" x14ac:dyDescent="0.3"/>
    <row r="437" ht="12.6" customHeight="1" x14ac:dyDescent="0.3"/>
    <row r="438" ht="12.6" customHeight="1" x14ac:dyDescent="0.3"/>
    <row r="439" ht="12.6" customHeight="1" x14ac:dyDescent="0.3"/>
    <row r="440" ht="12.6" customHeight="1" x14ac:dyDescent="0.3"/>
    <row r="441" ht="12.6" customHeight="1" x14ac:dyDescent="0.3"/>
    <row r="442" ht="12.6" customHeight="1" x14ac:dyDescent="0.3"/>
    <row r="443" ht="12.6" customHeight="1" x14ac:dyDescent="0.3"/>
    <row r="444" ht="12.6" customHeight="1" x14ac:dyDescent="0.3"/>
    <row r="445" ht="12.6" customHeight="1" x14ac:dyDescent="0.3"/>
    <row r="446" ht="12.6" customHeight="1" x14ac:dyDescent="0.3"/>
    <row r="447" ht="12.6" customHeight="1" x14ac:dyDescent="0.3"/>
    <row r="448" ht="12.6" customHeight="1" x14ac:dyDescent="0.3"/>
    <row r="449" ht="12.6" customHeight="1" x14ac:dyDescent="0.3"/>
    <row r="450" ht="12.6" customHeight="1" x14ac:dyDescent="0.3"/>
    <row r="451" ht="12.6" customHeight="1" x14ac:dyDescent="0.3"/>
    <row r="452" ht="12.6" customHeight="1" x14ac:dyDescent="0.3"/>
    <row r="453" ht="12.6" customHeight="1" x14ac:dyDescent="0.3"/>
    <row r="454" ht="12.6" customHeight="1" x14ac:dyDescent="0.3"/>
    <row r="455" ht="12.6" customHeight="1" x14ac:dyDescent="0.3"/>
    <row r="456" ht="12.6" customHeight="1" x14ac:dyDescent="0.3"/>
    <row r="457" ht="12.6" customHeight="1" x14ac:dyDescent="0.3"/>
    <row r="458" ht="12.6" customHeight="1" x14ac:dyDescent="0.3"/>
    <row r="459" ht="12.6" customHeight="1" x14ac:dyDescent="0.3"/>
    <row r="460" ht="12.6" customHeight="1" x14ac:dyDescent="0.3"/>
    <row r="461" ht="12.6" customHeight="1" x14ac:dyDescent="0.3"/>
    <row r="462" ht="12.6" customHeight="1" x14ac:dyDescent="0.3"/>
    <row r="463" ht="12.6" customHeight="1" x14ac:dyDescent="0.3"/>
    <row r="464" ht="12.6" customHeight="1" x14ac:dyDescent="0.3"/>
    <row r="465" ht="12.6" customHeight="1" x14ac:dyDescent="0.3"/>
    <row r="466" ht="12.6" customHeight="1" x14ac:dyDescent="0.3"/>
    <row r="467" ht="12.6" customHeight="1" x14ac:dyDescent="0.3"/>
    <row r="468" ht="12.6" customHeight="1" x14ac:dyDescent="0.3"/>
    <row r="469" ht="12.6" customHeight="1" x14ac:dyDescent="0.3"/>
    <row r="470" ht="12.6" customHeight="1" x14ac:dyDescent="0.3"/>
    <row r="471" ht="12.6" customHeight="1" x14ac:dyDescent="0.3"/>
    <row r="472" ht="12.6" customHeight="1" x14ac:dyDescent="0.3"/>
    <row r="473" ht="12.6" customHeight="1" x14ac:dyDescent="0.3"/>
    <row r="474" ht="12.6" customHeight="1" x14ac:dyDescent="0.3"/>
    <row r="475" ht="12.6" customHeight="1" x14ac:dyDescent="0.3"/>
    <row r="476" ht="12.6" customHeight="1" x14ac:dyDescent="0.3"/>
    <row r="477" ht="12.6" customHeight="1" x14ac:dyDescent="0.3"/>
    <row r="478" ht="12.6" customHeight="1" x14ac:dyDescent="0.3"/>
    <row r="479" ht="12.6" customHeight="1" x14ac:dyDescent="0.3"/>
    <row r="480" ht="12.6" customHeight="1" x14ac:dyDescent="0.3"/>
    <row r="481" ht="12.6" customHeight="1" x14ac:dyDescent="0.3"/>
    <row r="482" ht="12.6" customHeight="1" x14ac:dyDescent="0.3"/>
    <row r="483" ht="12.6" customHeight="1" x14ac:dyDescent="0.3"/>
    <row r="484" ht="12.6" customHeight="1" x14ac:dyDescent="0.3"/>
    <row r="485" ht="12.6" customHeight="1" x14ac:dyDescent="0.3"/>
    <row r="486" ht="12.6" customHeight="1" x14ac:dyDescent="0.3"/>
    <row r="487" ht="12.6" customHeight="1" x14ac:dyDescent="0.3"/>
    <row r="488" ht="12.6" customHeight="1" x14ac:dyDescent="0.3"/>
    <row r="489" ht="12.6" customHeight="1" x14ac:dyDescent="0.3"/>
    <row r="490" ht="12.6" customHeight="1" x14ac:dyDescent="0.3"/>
    <row r="491" ht="12.6" customHeight="1" x14ac:dyDescent="0.3"/>
    <row r="492" ht="12.6" customHeight="1" x14ac:dyDescent="0.3"/>
    <row r="493" ht="12.6" customHeight="1" x14ac:dyDescent="0.3"/>
    <row r="494" ht="12.6" customHeight="1" x14ac:dyDescent="0.3"/>
    <row r="495" ht="12.6" customHeight="1" x14ac:dyDescent="0.3"/>
    <row r="496" ht="12.6" customHeight="1" x14ac:dyDescent="0.3"/>
    <row r="497" ht="12.6" customHeight="1" x14ac:dyDescent="0.3"/>
    <row r="498" ht="12.6" customHeight="1" x14ac:dyDescent="0.3"/>
    <row r="499" ht="12.6" customHeight="1" x14ac:dyDescent="0.3"/>
    <row r="500" ht="12.6" customHeight="1" x14ac:dyDescent="0.3"/>
    <row r="501" ht="12.6" customHeight="1" x14ac:dyDescent="0.3"/>
    <row r="502" ht="12.6" customHeight="1" x14ac:dyDescent="0.3"/>
    <row r="503" ht="12.6" customHeight="1" x14ac:dyDescent="0.3"/>
    <row r="504" ht="12.6" customHeight="1" x14ac:dyDescent="0.3"/>
    <row r="505" ht="12.6" customHeight="1" x14ac:dyDescent="0.3"/>
    <row r="506" ht="12.6" customHeight="1" x14ac:dyDescent="0.3"/>
    <row r="507" ht="12.6" customHeight="1" x14ac:dyDescent="0.3"/>
    <row r="508" ht="12.6" customHeight="1" x14ac:dyDescent="0.3"/>
    <row r="509" ht="12.6" customHeight="1" x14ac:dyDescent="0.3"/>
    <row r="510" ht="12.6" customHeight="1" x14ac:dyDescent="0.3"/>
    <row r="511" ht="12.6" customHeight="1" x14ac:dyDescent="0.3"/>
    <row r="512" ht="12.6" customHeight="1" x14ac:dyDescent="0.3"/>
    <row r="513" ht="12.6" customHeight="1" x14ac:dyDescent="0.3"/>
    <row r="514" ht="12.6" customHeight="1" x14ac:dyDescent="0.3"/>
    <row r="515" ht="12.6" customHeight="1" x14ac:dyDescent="0.3"/>
    <row r="516" ht="12.6" customHeight="1" x14ac:dyDescent="0.3"/>
    <row r="517" ht="12.6" customHeight="1" x14ac:dyDescent="0.3"/>
    <row r="518" ht="12.6" customHeight="1" x14ac:dyDescent="0.3"/>
    <row r="519" ht="12.6" customHeight="1" x14ac:dyDescent="0.3"/>
    <row r="520" ht="12.6" customHeight="1" x14ac:dyDescent="0.3"/>
    <row r="521" ht="12.6" customHeight="1" x14ac:dyDescent="0.3"/>
    <row r="522" ht="12.6" customHeight="1" x14ac:dyDescent="0.3"/>
    <row r="523" ht="12.6" customHeight="1" x14ac:dyDescent="0.3"/>
    <row r="524" ht="12.6" customHeight="1" x14ac:dyDescent="0.3"/>
    <row r="525" ht="12.6" customHeight="1" x14ac:dyDescent="0.3"/>
    <row r="526" ht="12.6" customHeight="1" x14ac:dyDescent="0.3"/>
    <row r="527" ht="12.6" customHeight="1" x14ac:dyDescent="0.3"/>
    <row r="528" ht="12.6" customHeight="1" x14ac:dyDescent="0.3"/>
    <row r="529" ht="12.6" customHeight="1" x14ac:dyDescent="0.3"/>
    <row r="530" ht="12.6" customHeight="1" x14ac:dyDescent="0.3"/>
    <row r="531" ht="12.6" customHeight="1" x14ac:dyDescent="0.3"/>
    <row r="532" ht="12.6" customHeight="1" x14ac:dyDescent="0.3"/>
    <row r="533" ht="12.6" customHeight="1" x14ac:dyDescent="0.3"/>
    <row r="534" ht="12.6" customHeight="1" x14ac:dyDescent="0.3"/>
    <row r="535" ht="12.6" customHeight="1" x14ac:dyDescent="0.3"/>
    <row r="536" ht="12.6" customHeight="1" x14ac:dyDescent="0.3"/>
    <row r="537" ht="12.6" customHeight="1" x14ac:dyDescent="0.3"/>
    <row r="538" ht="12.6" customHeight="1" x14ac:dyDescent="0.3"/>
    <row r="539" ht="12.6" customHeight="1" x14ac:dyDescent="0.3"/>
    <row r="540" ht="12.6" customHeight="1" x14ac:dyDescent="0.3"/>
    <row r="541" ht="12.6" customHeight="1" x14ac:dyDescent="0.3"/>
    <row r="542" ht="12.6" customHeight="1" x14ac:dyDescent="0.3"/>
    <row r="543" ht="12.6" customHeight="1" x14ac:dyDescent="0.3"/>
    <row r="544" ht="12.6" customHeight="1" x14ac:dyDescent="0.3"/>
    <row r="545" ht="12.6" customHeight="1" x14ac:dyDescent="0.3"/>
    <row r="546" ht="12.6" customHeight="1" x14ac:dyDescent="0.3"/>
    <row r="547" ht="12.6" customHeight="1" x14ac:dyDescent="0.3"/>
    <row r="548" ht="12.6" customHeight="1" x14ac:dyDescent="0.3"/>
    <row r="549" ht="12.6" customHeight="1" x14ac:dyDescent="0.3"/>
    <row r="550" ht="12.6" customHeight="1" x14ac:dyDescent="0.3"/>
    <row r="551" ht="12.6" customHeight="1" x14ac:dyDescent="0.3"/>
    <row r="552" ht="12.6" customHeight="1" x14ac:dyDescent="0.3"/>
    <row r="553" ht="12.6" customHeight="1" x14ac:dyDescent="0.3"/>
    <row r="554" ht="12.6" customHeight="1" x14ac:dyDescent="0.3"/>
    <row r="555" ht="12.6" customHeight="1" x14ac:dyDescent="0.3"/>
    <row r="556" ht="12.6" customHeight="1" x14ac:dyDescent="0.3"/>
    <row r="557" ht="12.6" customHeight="1" x14ac:dyDescent="0.3"/>
    <row r="558" ht="12.6" customHeight="1" x14ac:dyDescent="0.3"/>
    <row r="559" ht="12.6" customHeight="1" x14ac:dyDescent="0.3"/>
    <row r="560" ht="12.6" customHeight="1" x14ac:dyDescent="0.3"/>
    <row r="561" ht="12.6" customHeight="1" x14ac:dyDescent="0.3"/>
    <row r="562" ht="12.6" customHeight="1" x14ac:dyDescent="0.3"/>
    <row r="563" ht="12.6" customHeight="1" x14ac:dyDescent="0.3"/>
    <row r="564" ht="12.6" customHeight="1" x14ac:dyDescent="0.3"/>
    <row r="565" ht="12.6" customHeight="1" x14ac:dyDescent="0.3"/>
    <row r="566" ht="12.6" customHeight="1" x14ac:dyDescent="0.3"/>
    <row r="567" ht="12.6" customHeight="1" x14ac:dyDescent="0.3"/>
    <row r="568" ht="12.6" customHeight="1" x14ac:dyDescent="0.3"/>
    <row r="569" ht="12.6" customHeight="1" x14ac:dyDescent="0.3"/>
    <row r="570" ht="12.6" customHeight="1" x14ac:dyDescent="0.3"/>
    <row r="571" ht="12.6" customHeight="1" x14ac:dyDescent="0.3"/>
    <row r="572" ht="12.6" customHeight="1" x14ac:dyDescent="0.3"/>
    <row r="573" ht="12.6" customHeight="1" x14ac:dyDescent="0.3"/>
    <row r="574" ht="12.6" customHeight="1" x14ac:dyDescent="0.3"/>
    <row r="575" ht="12.6" customHeight="1" x14ac:dyDescent="0.3"/>
    <row r="576" ht="12.6" customHeight="1" x14ac:dyDescent="0.3"/>
    <row r="577" ht="12.6" customHeight="1" x14ac:dyDescent="0.3"/>
    <row r="578" ht="12.6" customHeight="1" x14ac:dyDescent="0.3"/>
    <row r="579" ht="12.6" customHeight="1" x14ac:dyDescent="0.3"/>
    <row r="580" ht="12.6" customHeight="1" x14ac:dyDescent="0.3"/>
    <row r="581" ht="12.6" customHeight="1" x14ac:dyDescent="0.3"/>
    <row r="582" ht="12.6" customHeight="1" x14ac:dyDescent="0.3"/>
    <row r="583" ht="12.6" customHeight="1" x14ac:dyDescent="0.3"/>
    <row r="584" ht="12.6" customHeight="1" x14ac:dyDescent="0.3"/>
    <row r="585" ht="12.6" customHeight="1" x14ac:dyDescent="0.3"/>
    <row r="586" ht="12.6" customHeight="1" x14ac:dyDescent="0.3"/>
    <row r="587" ht="12.6" customHeight="1" x14ac:dyDescent="0.3"/>
    <row r="588" ht="12.6" customHeight="1" x14ac:dyDescent="0.3"/>
    <row r="589" ht="12.6" customHeight="1" x14ac:dyDescent="0.3"/>
    <row r="590" ht="12.6" customHeight="1" x14ac:dyDescent="0.3"/>
    <row r="591" ht="12.6" customHeight="1" x14ac:dyDescent="0.3"/>
    <row r="592" ht="12.6" customHeight="1" x14ac:dyDescent="0.3"/>
    <row r="593" ht="12.6" customHeight="1" x14ac:dyDescent="0.3"/>
    <row r="594" ht="12.6" customHeight="1" x14ac:dyDescent="0.3"/>
    <row r="595" ht="12.6" customHeight="1" x14ac:dyDescent="0.3"/>
    <row r="596" ht="12.6" customHeight="1" x14ac:dyDescent="0.3"/>
    <row r="597" ht="12.6" customHeight="1" x14ac:dyDescent="0.3"/>
    <row r="598" ht="12.6" customHeight="1" x14ac:dyDescent="0.3"/>
    <row r="599" ht="12.6" customHeight="1" x14ac:dyDescent="0.3"/>
    <row r="600" ht="12.6" customHeight="1" x14ac:dyDescent="0.3"/>
    <row r="601" ht="12.6" customHeight="1" x14ac:dyDescent="0.3"/>
    <row r="602" ht="12.6" customHeight="1" x14ac:dyDescent="0.3"/>
    <row r="603" ht="12.6" customHeight="1" x14ac:dyDescent="0.3"/>
    <row r="604" ht="12.6" customHeight="1" x14ac:dyDescent="0.3"/>
    <row r="605" ht="12.6" customHeight="1" x14ac:dyDescent="0.3"/>
    <row r="606" ht="12.6" customHeight="1" x14ac:dyDescent="0.3"/>
    <row r="607" ht="12.6" customHeight="1" x14ac:dyDescent="0.3"/>
    <row r="608" ht="12.6" customHeight="1" x14ac:dyDescent="0.3"/>
    <row r="609" ht="12.6" customHeight="1" x14ac:dyDescent="0.3"/>
    <row r="610" ht="12.6" customHeight="1" x14ac:dyDescent="0.3"/>
    <row r="611" ht="12.6" customHeight="1" x14ac:dyDescent="0.3"/>
    <row r="612" ht="12.6" customHeight="1" x14ac:dyDescent="0.3"/>
    <row r="613" ht="12.6" customHeight="1" x14ac:dyDescent="0.3"/>
    <row r="614" ht="12.6" customHeight="1" x14ac:dyDescent="0.3"/>
    <row r="615" ht="12.6" customHeight="1" x14ac:dyDescent="0.3"/>
    <row r="616" ht="12.6" customHeight="1" x14ac:dyDescent="0.3"/>
    <row r="617" ht="12.6" customHeight="1" x14ac:dyDescent="0.3"/>
    <row r="618" ht="12.6" customHeight="1" x14ac:dyDescent="0.3"/>
    <row r="619" ht="12.6" customHeight="1" x14ac:dyDescent="0.3"/>
    <row r="620" ht="12.6" customHeight="1" x14ac:dyDescent="0.3"/>
    <row r="621" ht="12.6" customHeight="1" x14ac:dyDescent="0.3"/>
    <row r="622" ht="12.6" customHeight="1" x14ac:dyDescent="0.3"/>
    <row r="623" ht="12.6" customHeight="1" x14ac:dyDescent="0.3"/>
    <row r="624" ht="12.6" customHeight="1" x14ac:dyDescent="0.3"/>
    <row r="625" ht="12.6" customHeight="1" x14ac:dyDescent="0.3"/>
    <row r="626" ht="12.6" customHeight="1" x14ac:dyDescent="0.3"/>
    <row r="627" ht="12.6" customHeight="1" x14ac:dyDescent="0.3"/>
    <row r="628" ht="12.6" customHeight="1" x14ac:dyDescent="0.3"/>
    <row r="629" ht="12.6" customHeight="1" x14ac:dyDescent="0.3"/>
    <row r="630" ht="12.6" customHeight="1" x14ac:dyDescent="0.3"/>
    <row r="631" ht="12.6" customHeight="1" x14ac:dyDescent="0.3"/>
    <row r="632" ht="12.6" customHeight="1" x14ac:dyDescent="0.3"/>
    <row r="633" ht="12.6" customHeight="1" x14ac:dyDescent="0.3"/>
    <row r="634" ht="12.6" customHeight="1" x14ac:dyDescent="0.3"/>
    <row r="635" ht="12.6" customHeight="1" x14ac:dyDescent="0.3"/>
    <row r="636" ht="12.6" customHeight="1" x14ac:dyDescent="0.3"/>
    <row r="637" ht="12.6" customHeight="1" x14ac:dyDescent="0.3"/>
    <row r="638" ht="12.6" customHeight="1" x14ac:dyDescent="0.3"/>
    <row r="639" ht="12.6" customHeight="1" x14ac:dyDescent="0.3"/>
    <row r="640" ht="12.6" customHeight="1" x14ac:dyDescent="0.3"/>
    <row r="641" ht="12.6" customHeight="1" x14ac:dyDescent="0.3"/>
    <row r="642" ht="12.6" customHeight="1" x14ac:dyDescent="0.3"/>
    <row r="643" ht="12.6" customHeight="1" x14ac:dyDescent="0.3"/>
    <row r="644" ht="12.6" customHeight="1" x14ac:dyDescent="0.3"/>
    <row r="645" ht="12.6" customHeight="1" x14ac:dyDescent="0.3"/>
    <row r="646" ht="12.6" customHeight="1" x14ac:dyDescent="0.3"/>
    <row r="647" ht="12.6" customHeight="1" x14ac:dyDescent="0.3"/>
    <row r="648" ht="12.6" customHeight="1" x14ac:dyDescent="0.3"/>
    <row r="649" ht="12.6" customHeight="1" x14ac:dyDescent="0.3"/>
    <row r="650" ht="12.6" customHeight="1" x14ac:dyDescent="0.3"/>
    <row r="651" ht="12.6" customHeight="1" x14ac:dyDescent="0.3"/>
    <row r="652" ht="12.6" customHeight="1" x14ac:dyDescent="0.3"/>
    <row r="653" ht="12.6" customHeight="1" x14ac:dyDescent="0.3"/>
    <row r="654" ht="12.6" customHeight="1" x14ac:dyDescent="0.3"/>
    <row r="655" ht="12.6" customHeight="1" x14ac:dyDescent="0.3"/>
    <row r="656" ht="12.6" customHeight="1" x14ac:dyDescent="0.3"/>
    <row r="657" ht="12.6" customHeight="1" x14ac:dyDescent="0.3"/>
    <row r="658" ht="12.6" customHeight="1" x14ac:dyDescent="0.3"/>
    <row r="659" ht="12.6" customHeight="1" x14ac:dyDescent="0.3"/>
    <row r="660" ht="12.6" customHeight="1" x14ac:dyDescent="0.3"/>
    <row r="661" ht="12.6" customHeight="1" x14ac:dyDescent="0.3"/>
    <row r="662" ht="12.6" customHeight="1" x14ac:dyDescent="0.3"/>
    <row r="663" ht="12.6" customHeight="1" x14ac:dyDescent="0.3"/>
    <row r="664" ht="12.6" customHeight="1" x14ac:dyDescent="0.3"/>
    <row r="665" ht="12.6" customHeight="1" x14ac:dyDescent="0.3"/>
    <row r="666" ht="12.6" customHeight="1" x14ac:dyDescent="0.3"/>
    <row r="667" ht="12.6" customHeight="1" x14ac:dyDescent="0.3"/>
    <row r="668" ht="12.6" customHeight="1" x14ac:dyDescent="0.3"/>
    <row r="669" ht="12.6" customHeight="1" x14ac:dyDescent="0.3"/>
    <row r="670" ht="12.6" customHeight="1" x14ac:dyDescent="0.3"/>
    <row r="671" ht="12.6" customHeight="1" x14ac:dyDescent="0.3"/>
    <row r="672" ht="12.6" customHeight="1" x14ac:dyDescent="0.3"/>
    <row r="673" ht="12.6" customHeight="1" x14ac:dyDescent="0.3"/>
    <row r="674" ht="12.6" customHeight="1" x14ac:dyDescent="0.3"/>
    <row r="675" ht="12.6" customHeight="1" x14ac:dyDescent="0.3"/>
    <row r="676" ht="12.6" customHeight="1" x14ac:dyDescent="0.3"/>
    <row r="677" ht="12.6" customHeight="1" x14ac:dyDescent="0.3"/>
    <row r="678" ht="12.6" customHeight="1" x14ac:dyDescent="0.3"/>
    <row r="679" ht="12.6" customHeight="1" x14ac:dyDescent="0.3"/>
    <row r="680" ht="12.6" customHeight="1" x14ac:dyDescent="0.3"/>
    <row r="681" ht="12.6" customHeight="1" x14ac:dyDescent="0.3"/>
    <row r="682" ht="12.6" customHeight="1" x14ac:dyDescent="0.3"/>
    <row r="683" ht="12.6" customHeight="1" x14ac:dyDescent="0.3"/>
    <row r="684" ht="12.6" customHeight="1" x14ac:dyDescent="0.3"/>
    <row r="685" ht="12.6" customHeight="1" x14ac:dyDescent="0.3"/>
    <row r="686" ht="12.6" customHeight="1" x14ac:dyDescent="0.3"/>
    <row r="687" ht="12.6" customHeight="1" x14ac:dyDescent="0.3"/>
    <row r="688" ht="12.6" customHeight="1" x14ac:dyDescent="0.3"/>
    <row r="689" ht="12.6" customHeight="1" x14ac:dyDescent="0.3"/>
    <row r="690" ht="12.6" customHeight="1" x14ac:dyDescent="0.3"/>
    <row r="691" ht="12.6" customHeight="1" x14ac:dyDescent="0.3"/>
    <row r="692" ht="12.6" customHeight="1" x14ac:dyDescent="0.3"/>
    <row r="693" ht="12.6" customHeight="1" x14ac:dyDescent="0.3"/>
    <row r="694" ht="12.6" customHeight="1" x14ac:dyDescent="0.3"/>
    <row r="695" ht="12.6" customHeight="1" x14ac:dyDescent="0.3"/>
    <row r="696" ht="12.6" customHeight="1" x14ac:dyDescent="0.3"/>
    <row r="697" ht="12.6" customHeight="1" x14ac:dyDescent="0.3"/>
    <row r="698" ht="12.6" customHeight="1" x14ac:dyDescent="0.3"/>
    <row r="699" ht="12.6" customHeight="1" x14ac:dyDescent="0.3"/>
    <row r="700" ht="12.6" customHeight="1" x14ac:dyDescent="0.3"/>
    <row r="701" ht="12.6" customHeight="1" x14ac:dyDescent="0.3"/>
    <row r="702" ht="12.6" customHeight="1" x14ac:dyDescent="0.3"/>
    <row r="703" ht="12.6" customHeight="1" x14ac:dyDescent="0.3"/>
    <row r="704" ht="12.6" customHeight="1" x14ac:dyDescent="0.3"/>
    <row r="705" ht="12.6" customHeight="1" x14ac:dyDescent="0.3"/>
    <row r="706" ht="12.6" customHeight="1" x14ac:dyDescent="0.3"/>
    <row r="707" ht="12.6" customHeight="1" x14ac:dyDescent="0.3"/>
    <row r="708" ht="12.6" customHeight="1" x14ac:dyDescent="0.3"/>
    <row r="709" ht="12.6" customHeight="1" x14ac:dyDescent="0.3"/>
    <row r="710" ht="12.6" customHeight="1" x14ac:dyDescent="0.3"/>
    <row r="711" ht="12.6" customHeight="1" x14ac:dyDescent="0.3"/>
    <row r="712" ht="12.6" customHeight="1" x14ac:dyDescent="0.3"/>
    <row r="713" ht="12.6" customHeight="1" x14ac:dyDescent="0.3"/>
    <row r="714" ht="12.6" customHeight="1" x14ac:dyDescent="0.3"/>
    <row r="715" ht="12.6" customHeight="1" x14ac:dyDescent="0.3"/>
    <row r="716" ht="12.6" customHeight="1" x14ac:dyDescent="0.3"/>
    <row r="717" ht="12.6" customHeight="1" x14ac:dyDescent="0.3"/>
    <row r="718" ht="12.6" customHeight="1" x14ac:dyDescent="0.3"/>
    <row r="719" ht="12.6" customHeight="1" x14ac:dyDescent="0.3"/>
    <row r="720" ht="12.6" customHeight="1" x14ac:dyDescent="0.3"/>
    <row r="721" ht="12.6" customHeight="1" x14ac:dyDescent="0.3"/>
    <row r="722" ht="12.6" customHeight="1" x14ac:dyDescent="0.3"/>
    <row r="723" ht="12.6" customHeight="1" x14ac:dyDescent="0.3"/>
    <row r="724" ht="12.6" customHeight="1" x14ac:dyDescent="0.3"/>
    <row r="725" ht="12.6" customHeight="1" x14ac:dyDescent="0.3"/>
    <row r="726" ht="12.6" customHeight="1" x14ac:dyDescent="0.3"/>
    <row r="727" ht="12.6" customHeight="1" x14ac:dyDescent="0.3"/>
    <row r="728" ht="12.6" customHeight="1" x14ac:dyDescent="0.3"/>
    <row r="729" ht="12.6" customHeight="1" x14ac:dyDescent="0.3"/>
    <row r="730" ht="12.6" customHeight="1" x14ac:dyDescent="0.3"/>
    <row r="731" ht="12.6" customHeight="1" x14ac:dyDescent="0.3"/>
    <row r="732" ht="12.6" customHeight="1" x14ac:dyDescent="0.3"/>
    <row r="733" ht="12.6" customHeight="1" x14ac:dyDescent="0.3"/>
    <row r="734" ht="12.6" customHeight="1" x14ac:dyDescent="0.3"/>
    <row r="735" ht="12.6" customHeight="1" x14ac:dyDescent="0.3"/>
    <row r="736" ht="12.6" customHeight="1" x14ac:dyDescent="0.3"/>
    <row r="737" ht="12.6" customHeight="1" x14ac:dyDescent="0.3"/>
    <row r="738" ht="12.6" customHeight="1" x14ac:dyDescent="0.3"/>
    <row r="739" ht="12.6" customHeight="1" x14ac:dyDescent="0.3"/>
    <row r="740" ht="12.6" customHeight="1" x14ac:dyDescent="0.3"/>
    <row r="741" ht="12.6" customHeight="1" x14ac:dyDescent="0.3"/>
    <row r="742" ht="12.6" customHeight="1" x14ac:dyDescent="0.3"/>
    <row r="743" ht="12.6" customHeight="1" x14ac:dyDescent="0.3"/>
    <row r="744" ht="12.6" customHeight="1" x14ac:dyDescent="0.3"/>
    <row r="745" ht="12.6" customHeight="1" x14ac:dyDescent="0.3"/>
    <row r="746" ht="12.6" customHeight="1" x14ac:dyDescent="0.3"/>
    <row r="747" ht="12.6" customHeight="1" x14ac:dyDescent="0.3"/>
    <row r="748" ht="12.6" customHeight="1" x14ac:dyDescent="0.3"/>
    <row r="749" ht="12.6" customHeight="1" x14ac:dyDescent="0.3"/>
    <row r="750" ht="12.6" customHeight="1" x14ac:dyDescent="0.3"/>
    <row r="751" ht="12.6" customHeight="1" x14ac:dyDescent="0.3"/>
    <row r="752" ht="12.6" customHeight="1" x14ac:dyDescent="0.3"/>
    <row r="753" ht="12.6" customHeight="1" x14ac:dyDescent="0.3"/>
    <row r="754" ht="12.6" customHeight="1" x14ac:dyDescent="0.3"/>
    <row r="755" ht="12.6" customHeight="1" x14ac:dyDescent="0.3"/>
    <row r="756" ht="12.6" customHeight="1" x14ac:dyDescent="0.3"/>
    <row r="757" ht="12.6" customHeight="1" x14ac:dyDescent="0.3"/>
    <row r="758" ht="12.6" customHeight="1" x14ac:dyDescent="0.3"/>
    <row r="759" ht="12.6" customHeight="1" x14ac:dyDescent="0.3"/>
    <row r="760" ht="12.6" customHeight="1" x14ac:dyDescent="0.3"/>
    <row r="761" ht="12.6" customHeight="1" x14ac:dyDescent="0.3"/>
    <row r="762" ht="12.6" customHeight="1" x14ac:dyDescent="0.3"/>
    <row r="763" ht="12.6" customHeight="1" x14ac:dyDescent="0.3"/>
    <row r="764" ht="12.6" customHeight="1" x14ac:dyDescent="0.3"/>
    <row r="765" ht="12.6" customHeight="1" x14ac:dyDescent="0.3"/>
    <row r="766" ht="12.6" customHeight="1" x14ac:dyDescent="0.3"/>
    <row r="767" ht="12.6" customHeight="1" x14ac:dyDescent="0.3"/>
    <row r="768" ht="12.6" customHeight="1" x14ac:dyDescent="0.3"/>
    <row r="769" ht="12.6" customHeight="1" x14ac:dyDescent="0.3"/>
    <row r="770" ht="12.6" customHeight="1" x14ac:dyDescent="0.3"/>
    <row r="771" ht="12.6" customHeight="1" x14ac:dyDescent="0.3"/>
    <row r="772" ht="12.6" customHeight="1" x14ac:dyDescent="0.3"/>
    <row r="773" ht="12.6" customHeight="1" x14ac:dyDescent="0.3"/>
    <row r="774" ht="12.6" customHeight="1" x14ac:dyDescent="0.3"/>
    <row r="775" ht="12.6" customHeight="1" x14ac:dyDescent="0.3"/>
    <row r="776" ht="12.6" customHeight="1" x14ac:dyDescent="0.3"/>
    <row r="777" ht="12.6" customHeight="1" x14ac:dyDescent="0.3"/>
    <row r="778" ht="12.6" customHeight="1" x14ac:dyDescent="0.3"/>
    <row r="779" ht="12.6" customHeight="1" x14ac:dyDescent="0.3"/>
    <row r="780" ht="12.6" customHeight="1" x14ac:dyDescent="0.3"/>
    <row r="781" ht="12.6" customHeight="1" x14ac:dyDescent="0.3"/>
    <row r="782" ht="12.6" customHeight="1" x14ac:dyDescent="0.3"/>
    <row r="783" ht="12.6" customHeight="1" x14ac:dyDescent="0.3"/>
    <row r="784" ht="12.6" customHeight="1" x14ac:dyDescent="0.3"/>
    <row r="785" ht="12.6" customHeight="1" x14ac:dyDescent="0.3"/>
    <row r="786" ht="12.6" customHeight="1" x14ac:dyDescent="0.3"/>
    <row r="787" ht="12.6" customHeight="1" x14ac:dyDescent="0.3"/>
    <row r="788" ht="12.6" customHeight="1" x14ac:dyDescent="0.3"/>
    <row r="789" ht="12.6" customHeight="1" x14ac:dyDescent="0.3"/>
    <row r="790" ht="12.6" customHeight="1" x14ac:dyDescent="0.3"/>
    <row r="791" ht="12.6" customHeight="1" x14ac:dyDescent="0.3"/>
    <row r="792" ht="12.6" customHeight="1" x14ac:dyDescent="0.3"/>
    <row r="793" ht="12.6" customHeight="1" x14ac:dyDescent="0.3"/>
    <row r="794" ht="12.6" customHeight="1" x14ac:dyDescent="0.3"/>
    <row r="795" ht="12.6" customHeight="1" x14ac:dyDescent="0.3"/>
    <row r="796" ht="12.6" customHeight="1" x14ac:dyDescent="0.3"/>
    <row r="797" ht="12.6" customHeight="1" x14ac:dyDescent="0.3"/>
    <row r="798" ht="12.6" customHeight="1" x14ac:dyDescent="0.3"/>
    <row r="799" ht="12.6" customHeight="1" x14ac:dyDescent="0.3"/>
    <row r="800" ht="12.6" customHeight="1" x14ac:dyDescent="0.3"/>
    <row r="801" ht="12.6" customHeight="1" x14ac:dyDescent="0.3"/>
    <row r="802" ht="12.6" customHeight="1" x14ac:dyDescent="0.3"/>
    <row r="803" ht="12.6" customHeight="1" x14ac:dyDescent="0.3"/>
    <row r="804" ht="12.6" customHeight="1" x14ac:dyDescent="0.3"/>
    <row r="805" ht="12.6" customHeight="1" x14ac:dyDescent="0.3"/>
    <row r="806" ht="12.6" customHeight="1" x14ac:dyDescent="0.3"/>
    <row r="807" ht="12.6" customHeight="1" x14ac:dyDescent="0.3"/>
    <row r="808" ht="12.6" customHeight="1" x14ac:dyDescent="0.3"/>
    <row r="809" ht="12.6" customHeight="1" x14ac:dyDescent="0.3"/>
    <row r="810" ht="12.6" customHeight="1" x14ac:dyDescent="0.3"/>
    <row r="811" ht="12.6" customHeight="1" x14ac:dyDescent="0.3"/>
    <row r="812" ht="12.6" customHeight="1" x14ac:dyDescent="0.3"/>
    <row r="813" ht="12.6" customHeight="1" x14ac:dyDescent="0.3"/>
    <row r="814" ht="12.6" customHeight="1" x14ac:dyDescent="0.3"/>
    <row r="815" ht="12.6" customHeight="1" x14ac:dyDescent="0.3"/>
    <row r="816" ht="12.6" customHeight="1" x14ac:dyDescent="0.3"/>
    <row r="817" ht="12.6" customHeight="1" x14ac:dyDescent="0.3"/>
    <row r="818" ht="12.6" customHeight="1" x14ac:dyDescent="0.3"/>
    <row r="819" ht="12.6" customHeight="1" x14ac:dyDescent="0.3"/>
    <row r="820" ht="12.6" customHeight="1" x14ac:dyDescent="0.3"/>
    <row r="821" ht="12.6" customHeight="1" x14ac:dyDescent="0.3"/>
    <row r="822" ht="12.6" customHeight="1" x14ac:dyDescent="0.3"/>
    <row r="823" ht="12.6" customHeight="1" x14ac:dyDescent="0.3"/>
    <row r="824" ht="12.6" customHeight="1" x14ac:dyDescent="0.3"/>
    <row r="825" ht="12.6" customHeight="1" x14ac:dyDescent="0.3"/>
    <row r="826" ht="12.6" customHeight="1" x14ac:dyDescent="0.3"/>
    <row r="827" ht="12.6" customHeight="1" x14ac:dyDescent="0.3"/>
    <row r="828" ht="12.6" customHeight="1" x14ac:dyDescent="0.3"/>
    <row r="829" ht="12.6" customHeight="1" x14ac:dyDescent="0.3"/>
    <row r="830" ht="12.6" customHeight="1" x14ac:dyDescent="0.3"/>
    <row r="831" ht="12.6" customHeight="1" x14ac:dyDescent="0.3"/>
    <row r="832" ht="12.6" customHeight="1" x14ac:dyDescent="0.3"/>
    <row r="833" ht="12.6" customHeight="1" x14ac:dyDescent="0.3"/>
    <row r="834" ht="12.6" customHeight="1" x14ac:dyDescent="0.3"/>
    <row r="835" ht="12.6" customHeight="1" x14ac:dyDescent="0.3"/>
    <row r="836" ht="12.6" customHeight="1" x14ac:dyDescent="0.3"/>
    <row r="837" ht="12.6" customHeight="1" x14ac:dyDescent="0.3"/>
    <row r="838" ht="12.6" customHeight="1" x14ac:dyDescent="0.3"/>
    <row r="839" ht="12.6" customHeight="1" x14ac:dyDescent="0.3"/>
    <row r="840" ht="12.6" customHeight="1" x14ac:dyDescent="0.3"/>
    <row r="841" ht="12.6" customHeight="1" x14ac:dyDescent="0.3"/>
    <row r="842" ht="12.6" customHeight="1" x14ac:dyDescent="0.3"/>
    <row r="843" ht="12.6" customHeight="1" x14ac:dyDescent="0.3"/>
    <row r="844" ht="12.6" customHeight="1" x14ac:dyDescent="0.3"/>
    <row r="845" ht="12.6" customHeight="1" x14ac:dyDescent="0.3"/>
    <row r="846" ht="12.6" customHeight="1" x14ac:dyDescent="0.3"/>
    <row r="847" ht="12.6" customHeight="1" x14ac:dyDescent="0.3"/>
    <row r="848" ht="12.6" customHeight="1" x14ac:dyDescent="0.3"/>
    <row r="849" ht="12.6" customHeight="1" x14ac:dyDescent="0.3"/>
    <row r="850" ht="12.6" customHeight="1" x14ac:dyDescent="0.3"/>
    <row r="851" ht="12.6" customHeight="1" x14ac:dyDescent="0.3"/>
    <row r="852" ht="12.6" customHeight="1" x14ac:dyDescent="0.3"/>
    <row r="853" ht="12.6" customHeight="1" x14ac:dyDescent="0.3"/>
    <row r="854" ht="12.6" customHeight="1" x14ac:dyDescent="0.3"/>
    <row r="855" ht="12.6" customHeight="1" x14ac:dyDescent="0.3"/>
    <row r="856" ht="12.6" customHeight="1" x14ac:dyDescent="0.3"/>
    <row r="857" ht="12.6" customHeight="1" x14ac:dyDescent="0.3"/>
    <row r="858" ht="12.6" customHeight="1" x14ac:dyDescent="0.3"/>
    <row r="859" ht="12.6" customHeight="1" x14ac:dyDescent="0.3"/>
    <row r="860" ht="12.6" customHeight="1" x14ac:dyDescent="0.3"/>
    <row r="861" ht="12.6" customHeight="1" x14ac:dyDescent="0.3"/>
    <row r="862" ht="12.6" customHeight="1" x14ac:dyDescent="0.3"/>
    <row r="863" ht="12.6" customHeight="1" x14ac:dyDescent="0.3"/>
    <row r="864" ht="12.6" customHeight="1" x14ac:dyDescent="0.3"/>
    <row r="865" ht="12.6" customHeight="1" x14ac:dyDescent="0.3"/>
    <row r="866" ht="12.6" customHeight="1" x14ac:dyDescent="0.3"/>
    <row r="867" ht="12.6" customHeight="1" x14ac:dyDescent="0.3"/>
    <row r="868" ht="12.6" customHeight="1" x14ac:dyDescent="0.3"/>
    <row r="869" ht="12.6" customHeight="1" x14ac:dyDescent="0.3"/>
    <row r="870" ht="12.6" customHeight="1" x14ac:dyDescent="0.3"/>
    <row r="871" ht="12.6" customHeight="1" x14ac:dyDescent="0.3"/>
    <row r="872" ht="12.6" customHeight="1" x14ac:dyDescent="0.3"/>
    <row r="873" ht="12.6" customHeight="1" x14ac:dyDescent="0.3"/>
    <row r="874" ht="12.6" customHeight="1" x14ac:dyDescent="0.3"/>
    <row r="875" ht="12.6" customHeight="1" x14ac:dyDescent="0.3"/>
    <row r="876" ht="12.6" customHeight="1" x14ac:dyDescent="0.3"/>
    <row r="877" ht="12.6" customHeight="1" x14ac:dyDescent="0.3"/>
    <row r="878" ht="12.6" customHeight="1" x14ac:dyDescent="0.3"/>
    <row r="879" ht="12.6" customHeight="1" x14ac:dyDescent="0.3"/>
    <row r="880" ht="12.6" customHeight="1" x14ac:dyDescent="0.3"/>
    <row r="881" ht="12.6" customHeight="1" x14ac:dyDescent="0.3"/>
    <row r="882" ht="12.6" customHeight="1" x14ac:dyDescent="0.3"/>
    <row r="883" ht="12.6" customHeight="1" x14ac:dyDescent="0.3"/>
    <row r="884" ht="12.6" customHeight="1" x14ac:dyDescent="0.3"/>
    <row r="885" ht="12.6" customHeight="1" x14ac:dyDescent="0.3"/>
    <row r="886" ht="12.6" customHeight="1" x14ac:dyDescent="0.3"/>
    <row r="887" ht="12.6" customHeight="1" x14ac:dyDescent="0.3"/>
    <row r="888" ht="12.6" customHeight="1" x14ac:dyDescent="0.3"/>
    <row r="889" ht="12.6" customHeight="1" x14ac:dyDescent="0.3"/>
    <row r="890" ht="12.6" customHeight="1" x14ac:dyDescent="0.3"/>
    <row r="891" ht="12.6" customHeight="1" x14ac:dyDescent="0.3"/>
    <row r="892" ht="12.6" customHeight="1" x14ac:dyDescent="0.3"/>
    <row r="893" ht="12.6" customHeight="1" x14ac:dyDescent="0.3"/>
    <row r="894" ht="12.6" customHeight="1" x14ac:dyDescent="0.3"/>
    <row r="895" ht="12.6" customHeight="1" x14ac:dyDescent="0.3"/>
    <row r="896" ht="12.6" customHeight="1" x14ac:dyDescent="0.3"/>
    <row r="897" ht="12.6" customHeight="1" x14ac:dyDescent="0.3"/>
    <row r="898" ht="12.6" customHeight="1" x14ac:dyDescent="0.3"/>
    <row r="899" ht="12.6" customHeight="1" x14ac:dyDescent="0.3"/>
    <row r="900" ht="12.6" customHeight="1" x14ac:dyDescent="0.3"/>
    <row r="901" ht="12.6" customHeight="1" x14ac:dyDescent="0.3"/>
    <row r="902" ht="12.6" customHeight="1" x14ac:dyDescent="0.3"/>
    <row r="903" ht="12.6" customHeight="1" x14ac:dyDescent="0.3"/>
    <row r="904" ht="12.6" customHeight="1" x14ac:dyDescent="0.3"/>
    <row r="905" ht="12.6" customHeight="1" x14ac:dyDescent="0.3"/>
    <row r="906" ht="12.6" customHeight="1" x14ac:dyDescent="0.3"/>
    <row r="907" ht="12.6" customHeight="1" x14ac:dyDescent="0.3"/>
    <row r="908" ht="12.6" customHeight="1" x14ac:dyDescent="0.3"/>
    <row r="909" ht="12.6" customHeight="1" x14ac:dyDescent="0.3"/>
    <row r="910" ht="12.6" customHeight="1" x14ac:dyDescent="0.3"/>
    <row r="911" ht="12.6" customHeight="1" x14ac:dyDescent="0.3"/>
    <row r="912" ht="12.6" customHeight="1" x14ac:dyDescent="0.3"/>
    <row r="913" ht="12.6" customHeight="1" x14ac:dyDescent="0.3"/>
    <row r="914" ht="12.6" customHeight="1" x14ac:dyDescent="0.3"/>
    <row r="915" ht="12.6" customHeight="1" x14ac:dyDescent="0.3"/>
    <row r="916" ht="12.6" customHeight="1" x14ac:dyDescent="0.3"/>
    <row r="917" ht="12.6" customHeight="1" x14ac:dyDescent="0.3"/>
    <row r="918" ht="12.6" customHeight="1" x14ac:dyDescent="0.3"/>
    <row r="919" ht="12.6" customHeight="1" x14ac:dyDescent="0.3"/>
    <row r="920" ht="12.6" customHeight="1" x14ac:dyDescent="0.3"/>
    <row r="921" ht="12.6" customHeight="1" x14ac:dyDescent="0.3"/>
    <row r="922" ht="12.6" customHeight="1" x14ac:dyDescent="0.3"/>
    <row r="923" ht="12.6" customHeight="1" x14ac:dyDescent="0.3"/>
    <row r="924" ht="12.6" customHeight="1" x14ac:dyDescent="0.3"/>
    <row r="925" ht="12.6" customHeight="1" x14ac:dyDescent="0.3"/>
    <row r="926" ht="12.6" customHeight="1" x14ac:dyDescent="0.3"/>
    <row r="927" ht="12.6" customHeight="1" x14ac:dyDescent="0.3"/>
    <row r="928" ht="12.6" customHeight="1" x14ac:dyDescent="0.3"/>
    <row r="929" ht="12.6" customHeight="1" x14ac:dyDescent="0.3"/>
    <row r="930" ht="12.6" customHeight="1" x14ac:dyDescent="0.3"/>
    <row r="931" ht="12.6" customHeight="1" x14ac:dyDescent="0.3"/>
    <row r="932" ht="12.6" customHeight="1" x14ac:dyDescent="0.3"/>
    <row r="933" ht="12.6" customHeight="1" x14ac:dyDescent="0.3"/>
    <row r="934" ht="12.6" customHeight="1" x14ac:dyDescent="0.3"/>
    <row r="935" ht="12.6" customHeight="1" x14ac:dyDescent="0.3"/>
    <row r="936" ht="12.6" customHeight="1" x14ac:dyDescent="0.3"/>
    <row r="937" ht="12.6" customHeight="1" x14ac:dyDescent="0.3"/>
    <row r="938" ht="12.6" customHeight="1" x14ac:dyDescent="0.3"/>
    <row r="939" ht="12.6" customHeight="1" x14ac:dyDescent="0.3"/>
    <row r="940" ht="12.6" customHeight="1" x14ac:dyDescent="0.3"/>
    <row r="941" ht="12.6" customHeight="1" x14ac:dyDescent="0.3"/>
    <row r="942" ht="12.6" customHeight="1" x14ac:dyDescent="0.3"/>
    <row r="943" ht="12.6" customHeight="1" x14ac:dyDescent="0.3"/>
    <row r="944" ht="12.6" customHeight="1" x14ac:dyDescent="0.3"/>
    <row r="945" ht="12.6" customHeight="1" x14ac:dyDescent="0.3"/>
    <row r="946" ht="12.6" customHeight="1" x14ac:dyDescent="0.3"/>
    <row r="947" ht="12.6" customHeight="1" x14ac:dyDescent="0.3"/>
    <row r="948" ht="12.6" customHeight="1" x14ac:dyDescent="0.3"/>
    <row r="949" ht="12.6" customHeight="1" x14ac:dyDescent="0.3"/>
    <row r="950" ht="12.6" customHeight="1" x14ac:dyDescent="0.3"/>
    <row r="951" ht="12.6" customHeight="1" x14ac:dyDescent="0.3"/>
    <row r="952" ht="12.6" customHeight="1" x14ac:dyDescent="0.3"/>
    <row r="953" ht="12.6" customHeight="1" x14ac:dyDescent="0.3"/>
    <row r="954" ht="12.6" customHeight="1" x14ac:dyDescent="0.3"/>
    <row r="955" ht="12.6" customHeight="1" x14ac:dyDescent="0.3"/>
    <row r="956" ht="12.6" customHeight="1" x14ac:dyDescent="0.3"/>
    <row r="957" ht="12.6" customHeight="1" x14ac:dyDescent="0.3"/>
    <row r="958" ht="12.6" customHeight="1" x14ac:dyDescent="0.3"/>
    <row r="959" ht="12.6" customHeight="1" x14ac:dyDescent="0.3"/>
    <row r="960" ht="12.6" customHeight="1" x14ac:dyDescent="0.3"/>
    <row r="961" ht="12.6" customHeight="1" x14ac:dyDescent="0.3"/>
    <row r="962" ht="12.6" customHeight="1" x14ac:dyDescent="0.3"/>
    <row r="963" ht="12.6" customHeight="1" x14ac:dyDescent="0.3"/>
    <row r="964" ht="12.6" customHeight="1" x14ac:dyDescent="0.3"/>
    <row r="965" ht="12.6" customHeight="1" x14ac:dyDescent="0.3"/>
    <row r="966" ht="12.6" customHeight="1" x14ac:dyDescent="0.3"/>
    <row r="967" ht="12.6" customHeight="1" x14ac:dyDescent="0.3"/>
    <row r="968" ht="12.6" customHeight="1" x14ac:dyDescent="0.3"/>
    <row r="969" ht="12.6" customHeight="1" x14ac:dyDescent="0.3"/>
    <row r="970" ht="12.6" customHeight="1" x14ac:dyDescent="0.3"/>
    <row r="971" ht="12.6" customHeight="1" x14ac:dyDescent="0.3"/>
    <row r="972" ht="12.6" customHeight="1" x14ac:dyDescent="0.3"/>
    <row r="973" ht="12.6" customHeight="1" x14ac:dyDescent="0.3"/>
    <row r="974" ht="12.6" customHeight="1" x14ac:dyDescent="0.3"/>
    <row r="975" ht="12.6" customHeight="1" x14ac:dyDescent="0.3"/>
    <row r="976" ht="12.6" customHeight="1" x14ac:dyDescent="0.3"/>
    <row r="977" ht="12.6" customHeight="1" x14ac:dyDescent="0.3"/>
    <row r="978" ht="12.6" customHeight="1" x14ac:dyDescent="0.3"/>
    <row r="979" ht="12.6" customHeight="1" x14ac:dyDescent="0.3"/>
    <row r="980" ht="12.6" customHeight="1" x14ac:dyDescent="0.3"/>
    <row r="981" ht="12.6" customHeight="1" x14ac:dyDescent="0.3"/>
    <row r="982" ht="12.6" customHeight="1" x14ac:dyDescent="0.3"/>
    <row r="983" ht="12.6" customHeight="1" x14ac:dyDescent="0.3"/>
    <row r="984" ht="12.6" customHeight="1" x14ac:dyDescent="0.3"/>
    <row r="985" ht="12.6" customHeight="1" x14ac:dyDescent="0.3"/>
    <row r="986" ht="12.6" customHeight="1" x14ac:dyDescent="0.3"/>
    <row r="987" ht="12.6" customHeight="1" x14ac:dyDescent="0.3"/>
    <row r="988" ht="12.6" customHeight="1" x14ac:dyDescent="0.3"/>
    <row r="989" ht="12.6" customHeight="1" x14ac:dyDescent="0.3"/>
    <row r="990" ht="12.6" customHeight="1" x14ac:dyDescent="0.3"/>
    <row r="991" ht="12.6" customHeight="1" x14ac:dyDescent="0.3"/>
    <row r="992" ht="12.6" customHeight="1" x14ac:dyDescent="0.3"/>
    <row r="993" ht="12.6" customHeight="1" x14ac:dyDescent="0.3"/>
    <row r="994" ht="12.6" customHeight="1" x14ac:dyDescent="0.3"/>
    <row r="995" ht="12.6" customHeight="1" x14ac:dyDescent="0.3"/>
    <row r="996" ht="12.6" customHeight="1" x14ac:dyDescent="0.3"/>
    <row r="997" ht="12.6" customHeight="1" x14ac:dyDescent="0.3"/>
    <row r="998" ht="12.6" customHeight="1" x14ac:dyDescent="0.3"/>
    <row r="999" ht="12.6" customHeight="1" x14ac:dyDescent="0.3"/>
    <row r="1000" ht="12.6" customHeight="1" x14ac:dyDescent="0.3"/>
  </sheetData>
  <mergeCells count="14">
    <mergeCell ref="B14:D14"/>
    <mergeCell ref="A16:H16"/>
    <mergeCell ref="A1:H1"/>
    <mergeCell ref="A2:H2"/>
    <mergeCell ref="B3:D3"/>
    <mergeCell ref="B5:D5"/>
    <mergeCell ref="B6:D6"/>
    <mergeCell ref="B7:D7"/>
    <mergeCell ref="B8:D8"/>
    <mergeCell ref="B9:D9"/>
    <mergeCell ref="B10:D10"/>
    <mergeCell ref="B11:D11"/>
    <mergeCell ref="B12:D12"/>
    <mergeCell ref="B13:D13"/>
  </mergeCells>
  <phoneticPr fontId="19" type="noConversion"/>
  <conditionalFormatting sqref="B3">
    <cfRule type="cellIs" dxfId="30" priority="1" operator="equal">
      <formula>"Đúng tiến độ"</formula>
    </cfRule>
    <cfRule type="cellIs" dxfId="29" priority="2" operator="equal">
      <formula>"Có rủi ro"</formula>
    </cfRule>
    <cfRule type="cellIs" dxfId="28" priority="3" operator="equal">
      <formula>"Bị kẹt"</formula>
    </cfRule>
  </conditionalFormatting>
  <conditionalFormatting sqref="H19:H24">
    <cfRule type="cellIs" dxfId="27" priority="4" operator="equal">
      <formula>"Hoàn thành"</formula>
    </cfRule>
    <cfRule type="cellIs" dxfId="26" priority="5" operator="equal">
      <formula>"Đang làm"</formula>
    </cfRule>
    <cfRule type="cellIs" dxfId="25" priority="6" operator="equal">
      <formula>"Bị kẹt"</formula>
    </cfRule>
    <cfRule type="cellIs" dxfId="24" priority="7" operator="equal">
      <formula>"Chưa bắt đầu"</formula>
    </cfRule>
  </conditionalFormatting>
  <dataValidations count="2">
    <dataValidation type="list" allowBlank="1" sqref="H19:H24" xr:uid="{00000000-0002-0000-0000-000000000000}">
      <formula1>"Chưa bắt đầu,Đang làm,Hoàn thành,Bị kẹt"</formula1>
    </dataValidation>
    <dataValidation type="list" allowBlank="1" sqref="B3" xr:uid="{00000000-0002-0000-0000-000001000000}">
      <formula1>"Đúng tiến độ,Có rủi ro,Bị kẹt"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F25"/>
  <sheetViews>
    <sheetView workbookViewId="0">
      <pane ySplit="4" topLeftCell="A5" activePane="bottomLeft" state="frozen"/>
      <selection pane="bottomLeft" activeCell="A5" sqref="A5:XFD5"/>
    </sheetView>
  </sheetViews>
  <sheetFormatPr defaultColWidth="14.44140625" defaultRowHeight="14.4" x14ac:dyDescent="0.3"/>
  <cols>
    <col min="1" max="1" width="6" customWidth="1"/>
    <col min="2" max="2" width="33.21875" bestFit="1" customWidth="1"/>
    <col min="3" max="3" width="25.88671875" bestFit="1" customWidth="1"/>
    <col min="4" max="4" width="48.21875" bestFit="1" customWidth="1"/>
    <col min="5" max="5" width="19" bestFit="1" customWidth="1"/>
    <col min="6" max="6" width="36" customWidth="1"/>
    <col min="7" max="26" width="8.6640625" customWidth="1"/>
  </cols>
  <sheetData>
    <row r="1" spans="1:6" ht="21" customHeight="1" x14ac:dyDescent="0.4">
      <c r="A1" s="14" t="s">
        <v>122</v>
      </c>
      <c r="B1" s="14"/>
      <c r="C1" s="14"/>
      <c r="D1" s="14"/>
      <c r="E1" s="14"/>
      <c r="F1" s="14"/>
    </row>
    <row r="2" spans="1:6" ht="14.4" customHeight="1" x14ac:dyDescent="0.3">
      <c r="A2" s="16" t="s">
        <v>123</v>
      </c>
      <c r="B2" s="16"/>
      <c r="C2" s="16"/>
      <c r="D2" s="16"/>
      <c r="E2" s="16"/>
      <c r="F2" s="16"/>
    </row>
    <row r="3" spans="1:6" ht="15" thickBot="1" x14ac:dyDescent="0.35"/>
    <row r="4" spans="1:6" s="26" customFormat="1" thickBot="1" x14ac:dyDescent="0.3">
      <c r="A4" s="118" t="s">
        <v>124</v>
      </c>
      <c r="B4" s="119" t="s">
        <v>703</v>
      </c>
      <c r="C4" s="119" t="s">
        <v>704</v>
      </c>
      <c r="D4" s="119" t="s">
        <v>705</v>
      </c>
      <c r="E4" s="119" t="s">
        <v>706</v>
      </c>
      <c r="F4" s="119" t="s">
        <v>126</v>
      </c>
    </row>
    <row r="5" spans="1:6" s="26" customFormat="1" ht="13.8" x14ac:dyDescent="0.25">
      <c r="A5" s="50"/>
      <c r="B5" s="49" t="s">
        <v>700</v>
      </c>
      <c r="C5" s="51"/>
      <c r="D5" s="51"/>
      <c r="E5" s="51"/>
      <c r="F5" s="52"/>
    </row>
    <row r="6" spans="1:6" s="63" customFormat="1" ht="13.8" x14ac:dyDescent="0.25">
      <c r="A6" s="55">
        <v>1</v>
      </c>
      <c r="C6" s="73" t="s">
        <v>127</v>
      </c>
      <c r="D6" s="78" t="s">
        <v>72</v>
      </c>
      <c r="E6" s="78" t="s">
        <v>128</v>
      </c>
      <c r="F6" s="79" t="s">
        <v>130</v>
      </c>
    </row>
    <row r="7" spans="1:6" s="26" customFormat="1" x14ac:dyDescent="0.25">
      <c r="A7" s="27">
        <v>2</v>
      </c>
      <c r="C7" s="27" t="s">
        <v>131</v>
      </c>
      <c r="D7" s="27" t="s">
        <v>132</v>
      </c>
      <c r="E7" s="46" t="s">
        <v>128</v>
      </c>
      <c r="F7" s="27" t="s">
        <v>134</v>
      </c>
    </row>
    <row r="8" spans="1:6" s="26" customFormat="1" x14ac:dyDescent="0.25">
      <c r="A8" s="27">
        <v>3</v>
      </c>
      <c r="C8" s="27" t="s">
        <v>135</v>
      </c>
      <c r="D8" s="27" t="s">
        <v>136</v>
      </c>
      <c r="E8" s="46" t="s">
        <v>66</v>
      </c>
      <c r="F8" s="27" t="s">
        <v>137</v>
      </c>
    </row>
    <row r="9" spans="1:6" s="26" customFormat="1" x14ac:dyDescent="0.25">
      <c r="A9" s="27">
        <v>4</v>
      </c>
      <c r="C9" s="27" t="s">
        <v>138</v>
      </c>
      <c r="D9" s="27" t="s">
        <v>139</v>
      </c>
      <c r="E9" s="47" t="s">
        <v>128</v>
      </c>
      <c r="F9" s="27" t="s">
        <v>140</v>
      </c>
    </row>
    <row r="10" spans="1:6" s="26" customFormat="1" x14ac:dyDescent="0.25">
      <c r="A10" s="27">
        <v>5</v>
      </c>
      <c r="C10" s="27" t="s">
        <v>141</v>
      </c>
      <c r="D10" s="27" t="s">
        <v>142</v>
      </c>
      <c r="E10" s="46" t="s">
        <v>66</v>
      </c>
      <c r="F10" s="27" t="s">
        <v>144</v>
      </c>
    </row>
    <row r="11" spans="1:6" s="26" customFormat="1" x14ac:dyDescent="0.25">
      <c r="A11" s="27">
        <v>6</v>
      </c>
      <c r="C11" s="27" t="s">
        <v>145</v>
      </c>
      <c r="D11" s="27" t="s">
        <v>146</v>
      </c>
      <c r="E11" s="46" t="s">
        <v>147</v>
      </c>
      <c r="F11" s="27" t="s">
        <v>148</v>
      </c>
    </row>
    <row r="12" spans="1:6" s="26" customFormat="1" thickBot="1" x14ac:dyDescent="0.3">
      <c r="A12" s="50"/>
      <c r="B12" s="120" t="s">
        <v>701</v>
      </c>
      <c r="C12" s="121"/>
      <c r="D12" s="121"/>
      <c r="E12" s="121"/>
      <c r="F12" s="122"/>
    </row>
    <row r="13" spans="1:6" s="26" customFormat="1" ht="15" thickBot="1" x14ac:dyDescent="0.3">
      <c r="A13" s="116">
        <v>7</v>
      </c>
      <c r="C13" s="117" t="s">
        <v>702</v>
      </c>
      <c r="D13" s="46"/>
      <c r="E13" s="46"/>
      <c r="F13" s="27"/>
    </row>
    <row r="14" spans="1:6" s="26" customFormat="1" thickBot="1" x14ac:dyDescent="0.3">
      <c r="A14" s="50"/>
      <c r="B14" s="123" t="s">
        <v>707</v>
      </c>
      <c r="C14" s="124"/>
      <c r="D14" s="124"/>
      <c r="E14" s="124"/>
      <c r="F14" s="125"/>
    </row>
    <row r="15" spans="1:6" ht="15" thickBot="1" x14ac:dyDescent="0.35">
      <c r="A15" s="116">
        <v>8</v>
      </c>
      <c r="B15" s="27"/>
      <c r="C15" s="27" t="s">
        <v>0</v>
      </c>
      <c r="D15" s="46" t="s">
        <v>1</v>
      </c>
      <c r="E15" s="46" t="s">
        <v>2</v>
      </c>
      <c r="F15" s="27" t="s">
        <v>3</v>
      </c>
    </row>
    <row r="16" spans="1:6" s="26" customFormat="1" ht="15" thickBot="1" x14ac:dyDescent="0.3">
      <c r="A16" s="116">
        <v>9</v>
      </c>
      <c r="B16" s="27"/>
      <c r="C16" s="27" t="s">
        <v>4</v>
      </c>
      <c r="D16" s="46" t="s">
        <v>1</v>
      </c>
      <c r="E16" s="46" t="s">
        <v>2</v>
      </c>
      <c r="F16" s="27"/>
    </row>
    <row r="18" spans="1:6" s="26" customFormat="1" x14ac:dyDescent="0.25">
      <c r="A18" s="55"/>
      <c r="B18" s="55"/>
      <c r="C18" s="55"/>
      <c r="D18" s="56"/>
      <c r="E18" s="56"/>
      <c r="F18" s="55"/>
    </row>
    <row r="19" spans="1:6" s="26" customFormat="1" x14ac:dyDescent="0.25">
      <c r="A19" s="55"/>
      <c r="B19" s="55"/>
      <c r="C19" s="55"/>
      <c r="D19" s="56"/>
      <c r="E19" s="56"/>
      <c r="F19" s="55"/>
    </row>
    <row r="20" spans="1:6" s="26" customFormat="1" ht="13.8" x14ac:dyDescent="0.25">
      <c r="A20" s="53"/>
      <c r="B20" s="54"/>
      <c r="C20" s="57"/>
      <c r="D20" s="57"/>
      <c r="E20" s="57"/>
      <c r="F20" s="58"/>
    </row>
    <row r="21" spans="1:6" s="26" customFormat="1" ht="13.8" x14ac:dyDescent="0.25"/>
    <row r="22" spans="1:6" s="26" customFormat="1" ht="13.8" x14ac:dyDescent="0.25"/>
    <row r="23" spans="1:6" s="26" customFormat="1" ht="13.8" x14ac:dyDescent="0.25">
      <c r="A23" s="27"/>
      <c r="B23" s="27"/>
      <c r="C23" s="27"/>
      <c r="D23" s="27"/>
      <c r="E23" s="27"/>
      <c r="F23" s="27"/>
    </row>
    <row r="24" spans="1:6" s="26" customFormat="1" ht="13.8" x14ac:dyDescent="0.25">
      <c r="A24" s="27"/>
      <c r="B24" s="27"/>
      <c r="C24" s="27"/>
      <c r="D24" s="27"/>
      <c r="E24" s="27"/>
      <c r="F24" s="27"/>
    </row>
    <row r="25" spans="1:6" s="26" customFormat="1" ht="13.8" x14ac:dyDescent="0.25">
      <c r="A25" s="27"/>
      <c r="B25" s="27"/>
      <c r="C25" s="27"/>
      <c r="D25" s="27"/>
      <c r="E25" s="27"/>
      <c r="F25" s="27"/>
    </row>
  </sheetData>
  <mergeCells count="4">
    <mergeCell ref="B12:F12"/>
    <mergeCell ref="B14:F14"/>
    <mergeCell ref="A1:F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A1:I16"/>
  <sheetViews>
    <sheetView workbookViewId="0">
      <pane ySplit="4" topLeftCell="A5" activePane="bottomLeft" state="frozen"/>
      <selection pane="bottomLeft" activeCell="A5" sqref="A5:XFD5"/>
    </sheetView>
  </sheetViews>
  <sheetFormatPr defaultColWidth="14.44140625" defaultRowHeight="13.8" x14ac:dyDescent="0.25"/>
  <cols>
    <col min="1" max="1" width="26.33203125" style="26" bestFit="1" customWidth="1"/>
    <col min="2" max="2" width="22" style="26" customWidth="1"/>
    <col min="3" max="3" width="51.21875" style="26" bestFit="1" customWidth="1"/>
    <col min="4" max="4" width="46.5546875" style="26" bestFit="1" customWidth="1"/>
    <col min="5" max="5" width="48.6640625" style="26" customWidth="1"/>
    <col min="6" max="7" width="18" style="26" customWidth="1"/>
    <col min="8" max="8" width="16" style="26" customWidth="1"/>
    <col min="9" max="9" width="34" style="26" customWidth="1"/>
    <col min="10" max="26" width="8.6640625" style="26" customWidth="1"/>
    <col min="27" max="16384" width="14.44140625" style="26"/>
  </cols>
  <sheetData>
    <row r="1" spans="1:9" ht="21" x14ac:dyDescent="0.4">
      <c r="A1" s="59" t="s">
        <v>149</v>
      </c>
      <c r="B1" s="59"/>
      <c r="C1" s="59"/>
      <c r="D1" s="59"/>
      <c r="E1" s="59"/>
      <c r="F1" s="59"/>
      <c r="G1" s="59"/>
      <c r="H1" s="59"/>
      <c r="I1" s="59"/>
    </row>
    <row r="2" spans="1:9" ht="14.4" x14ac:dyDescent="0.3">
      <c r="A2" s="60" t="s">
        <v>694</v>
      </c>
      <c r="B2" s="60"/>
      <c r="C2" s="60"/>
      <c r="D2" s="60"/>
      <c r="E2" s="60"/>
      <c r="F2" s="60"/>
      <c r="G2" s="60"/>
      <c r="H2" s="60"/>
      <c r="I2" s="60"/>
    </row>
    <row r="4" spans="1:9" ht="27.6" x14ac:dyDescent="0.25">
      <c r="A4" s="48" t="s">
        <v>124</v>
      </c>
      <c r="B4" s="48" t="s">
        <v>150</v>
      </c>
      <c r="C4" s="48" t="s">
        <v>151</v>
      </c>
      <c r="D4" s="48" t="s">
        <v>152</v>
      </c>
      <c r="E4" s="48" t="s">
        <v>153</v>
      </c>
      <c r="F4" s="48" t="s">
        <v>154</v>
      </c>
      <c r="G4" s="48" t="s">
        <v>155</v>
      </c>
      <c r="H4" s="48" t="s">
        <v>156</v>
      </c>
      <c r="I4" s="48" t="s">
        <v>126</v>
      </c>
    </row>
    <row r="5" spans="1:9" s="138" customFormat="1" ht="27.6" x14ac:dyDescent="0.25">
      <c r="A5" s="135">
        <v>1</v>
      </c>
      <c r="B5" s="136" t="s">
        <v>147</v>
      </c>
      <c r="C5" s="136" t="s">
        <v>157</v>
      </c>
      <c r="D5" s="137" t="s">
        <v>158</v>
      </c>
      <c r="E5" s="137"/>
      <c r="F5" s="137"/>
      <c r="G5" s="137"/>
      <c r="H5" s="137">
        <v>40</v>
      </c>
      <c r="I5" s="137" t="s">
        <v>159</v>
      </c>
    </row>
    <row r="6" spans="1:9" s="138" customFormat="1" ht="27.6" x14ac:dyDescent="0.25">
      <c r="A6" s="135">
        <v>2</v>
      </c>
      <c r="B6" s="136" t="s">
        <v>128</v>
      </c>
      <c r="C6" s="136" t="s">
        <v>160</v>
      </c>
      <c r="D6" s="137" t="s">
        <v>161</v>
      </c>
      <c r="E6" s="139"/>
      <c r="F6" s="137"/>
      <c r="G6" s="137"/>
      <c r="H6" s="137">
        <v>40</v>
      </c>
      <c r="I6" s="137" t="s">
        <v>162</v>
      </c>
    </row>
    <row r="7" spans="1:9" s="138" customFormat="1" ht="27.6" x14ac:dyDescent="0.25">
      <c r="A7" s="135">
        <v>3</v>
      </c>
      <c r="B7" s="136" t="s">
        <v>66</v>
      </c>
      <c r="C7" s="136" t="s">
        <v>163</v>
      </c>
      <c r="D7" s="137" t="s">
        <v>164</v>
      </c>
      <c r="E7" s="139"/>
      <c r="F7" s="137"/>
      <c r="G7" s="137"/>
      <c r="H7" s="137">
        <v>40</v>
      </c>
      <c r="I7" s="137" t="s">
        <v>165</v>
      </c>
    </row>
    <row r="8" spans="1:9" s="138" customFormat="1" ht="14.4" x14ac:dyDescent="0.25">
      <c r="A8" s="135"/>
      <c r="B8" s="136"/>
      <c r="C8" s="136"/>
      <c r="D8" s="137"/>
      <c r="E8" s="137"/>
      <c r="F8" s="137"/>
      <c r="G8" s="137"/>
      <c r="H8" s="137"/>
      <c r="I8" s="137"/>
    </row>
    <row r="9" spans="1:9" x14ac:dyDescent="0.25">
      <c r="A9" s="126" t="s">
        <v>166</v>
      </c>
      <c r="B9" s="127"/>
      <c r="C9" s="127"/>
      <c r="D9" s="127"/>
      <c r="E9" s="127"/>
      <c r="F9" s="127"/>
      <c r="G9" s="127"/>
      <c r="H9" s="127"/>
      <c r="I9" s="128"/>
    </row>
    <row r="10" spans="1:9" ht="41.4" x14ac:dyDescent="0.25">
      <c r="A10" s="129" t="s">
        <v>167</v>
      </c>
      <c r="B10" s="129" t="s">
        <v>708</v>
      </c>
      <c r="C10" s="129" t="s">
        <v>168</v>
      </c>
      <c r="D10" s="130" t="s">
        <v>169</v>
      </c>
      <c r="F10" s="25"/>
      <c r="G10" s="25"/>
      <c r="H10" s="25"/>
      <c r="I10" s="25"/>
    </row>
    <row r="11" spans="1:9" ht="27.6" x14ac:dyDescent="0.25">
      <c r="A11" s="131" t="s">
        <v>170</v>
      </c>
      <c r="B11" s="131" t="s">
        <v>709</v>
      </c>
      <c r="C11" s="131" t="s">
        <v>171</v>
      </c>
      <c r="D11" s="132" t="s">
        <v>172</v>
      </c>
      <c r="F11" s="25"/>
      <c r="G11" s="25"/>
      <c r="H11" s="25"/>
      <c r="I11" s="25"/>
    </row>
    <row r="12" spans="1:9" s="63" customFormat="1" ht="27.6" x14ac:dyDescent="0.25">
      <c r="A12" s="129" t="s">
        <v>173</v>
      </c>
      <c r="B12" s="129" t="s">
        <v>710</v>
      </c>
      <c r="C12" s="129" t="s">
        <v>174</v>
      </c>
      <c r="D12" s="130" t="s">
        <v>175</v>
      </c>
      <c r="F12" s="86"/>
      <c r="G12" s="86"/>
      <c r="H12" s="86"/>
      <c r="I12" s="86"/>
    </row>
    <row r="13" spans="1:9" s="63" customFormat="1" ht="27.6" x14ac:dyDescent="0.25">
      <c r="A13" s="133" t="s">
        <v>176</v>
      </c>
      <c r="B13" s="133" t="s">
        <v>711</v>
      </c>
      <c r="C13" s="133" t="s">
        <v>177</v>
      </c>
      <c r="D13" s="134" t="s">
        <v>178</v>
      </c>
      <c r="F13" s="86"/>
      <c r="G13" s="86"/>
      <c r="H13" s="86"/>
      <c r="I13" s="86"/>
    </row>
    <row r="14" spans="1:9" s="63" customFormat="1" ht="27.6" x14ac:dyDescent="0.25">
      <c r="A14" s="129" t="s">
        <v>179</v>
      </c>
      <c r="B14" s="129" t="s">
        <v>712</v>
      </c>
      <c r="C14" s="129" t="s">
        <v>180</v>
      </c>
      <c r="D14" s="130" t="s">
        <v>181</v>
      </c>
      <c r="F14" s="86"/>
      <c r="G14" s="86"/>
      <c r="H14" s="86"/>
      <c r="I14" s="86"/>
    </row>
    <row r="15" spans="1:9" ht="27.6" x14ac:dyDescent="0.25">
      <c r="A15" s="131" t="s">
        <v>182</v>
      </c>
      <c r="B15" s="131" t="s">
        <v>713</v>
      </c>
      <c r="C15" s="131" t="s">
        <v>183</v>
      </c>
      <c r="D15" s="132" t="s">
        <v>184</v>
      </c>
      <c r="F15" s="25"/>
      <c r="G15" s="25"/>
      <c r="H15" s="25"/>
      <c r="I15" s="25"/>
    </row>
    <row r="16" spans="1:9" s="63" customFormat="1" x14ac:dyDescent="0.25">
      <c r="A16" s="55"/>
      <c r="B16" s="55"/>
      <c r="C16" s="55"/>
      <c r="D16" s="55"/>
    </row>
  </sheetData>
  <mergeCells count="3">
    <mergeCell ref="A1:I1"/>
    <mergeCell ref="A2:I2"/>
    <mergeCell ref="A9:I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8F00"/>
  </sheetPr>
  <dimension ref="A1:J1000"/>
  <sheetViews>
    <sheetView tabSelected="1" workbookViewId="0">
      <pane ySplit="4" topLeftCell="A5" activePane="bottomLeft" state="frozen"/>
      <selection pane="bottomLeft" activeCell="B32" sqref="B32"/>
    </sheetView>
  </sheetViews>
  <sheetFormatPr defaultColWidth="14.44140625" defaultRowHeight="13.8" x14ac:dyDescent="0.25"/>
  <cols>
    <col min="1" max="1" width="15.5546875" style="26" customWidth="1"/>
    <col min="2" max="2" width="53" style="26" bestFit="1" customWidth="1"/>
    <col min="3" max="3" width="49.77734375" style="26" customWidth="1"/>
    <col min="4" max="6" width="32" style="26" customWidth="1"/>
    <col min="7" max="9" width="16" style="26" customWidth="1"/>
    <col min="10" max="10" width="18" style="26" customWidth="1"/>
    <col min="11" max="26" width="8.6640625" style="26" customWidth="1"/>
    <col min="27" max="16384" width="14.44140625" style="26"/>
  </cols>
  <sheetData>
    <row r="1" spans="1:10" ht="21" customHeight="1" x14ac:dyDescent="0.4">
      <c r="A1" s="175" t="s">
        <v>185</v>
      </c>
      <c r="B1" s="175"/>
      <c r="C1" s="175"/>
      <c r="D1" s="175"/>
      <c r="E1" s="175"/>
      <c r="F1" s="175"/>
      <c r="G1" s="175"/>
      <c r="H1" s="175"/>
      <c r="I1" s="175"/>
      <c r="J1" s="175"/>
    </row>
    <row r="2" spans="1:10" ht="14.4" customHeight="1" x14ac:dyDescent="0.3">
      <c r="A2" s="176" t="s">
        <v>780</v>
      </c>
      <c r="B2" s="176"/>
      <c r="C2" s="176"/>
      <c r="D2" s="176"/>
      <c r="E2" s="176"/>
      <c r="F2" s="176"/>
      <c r="G2" s="176"/>
      <c r="H2" s="176"/>
      <c r="I2" s="176"/>
      <c r="J2" s="176"/>
    </row>
    <row r="4" spans="1:10" x14ac:dyDescent="0.25">
      <c r="A4" s="174" t="s">
        <v>186</v>
      </c>
      <c r="B4" s="174" t="s">
        <v>187</v>
      </c>
      <c r="C4" s="174" t="s">
        <v>188</v>
      </c>
      <c r="D4" s="174" t="s">
        <v>189</v>
      </c>
      <c r="E4" s="174" t="s">
        <v>190</v>
      </c>
      <c r="F4" s="174" t="s">
        <v>191</v>
      </c>
      <c r="G4" s="174" t="s">
        <v>192</v>
      </c>
      <c r="H4" s="174" t="s">
        <v>85</v>
      </c>
      <c r="I4" s="174" t="s">
        <v>193</v>
      </c>
      <c r="J4" s="174" t="s">
        <v>194</v>
      </c>
    </row>
    <row r="5" spans="1:10" ht="27.6" x14ac:dyDescent="0.25">
      <c r="A5" s="177" t="s">
        <v>195</v>
      </c>
      <c r="B5" s="178" t="s">
        <v>196</v>
      </c>
      <c r="C5" s="178" t="s">
        <v>197</v>
      </c>
      <c r="D5" s="178" t="s">
        <v>198</v>
      </c>
      <c r="E5" s="178" t="s">
        <v>199</v>
      </c>
      <c r="F5" s="178" t="s">
        <v>200</v>
      </c>
      <c r="G5" s="178" t="s">
        <v>201</v>
      </c>
      <c r="H5" s="179" t="s">
        <v>89</v>
      </c>
      <c r="I5" s="180" t="s">
        <v>86</v>
      </c>
      <c r="J5" s="178" t="s">
        <v>202</v>
      </c>
    </row>
    <row r="6" spans="1:10" ht="27.6" x14ac:dyDescent="0.25">
      <c r="A6" s="181" t="s">
        <v>203</v>
      </c>
      <c r="B6" s="182" t="s">
        <v>204</v>
      </c>
      <c r="C6" s="182" t="s">
        <v>205</v>
      </c>
      <c r="D6" s="182" t="s">
        <v>206</v>
      </c>
      <c r="E6" s="182" t="s">
        <v>207</v>
      </c>
      <c r="F6" s="182" t="s">
        <v>208</v>
      </c>
      <c r="G6" s="182" t="s">
        <v>201</v>
      </c>
      <c r="H6" s="179" t="s">
        <v>89</v>
      </c>
      <c r="I6" s="180" t="s">
        <v>86</v>
      </c>
      <c r="J6" s="182" t="s">
        <v>202</v>
      </c>
    </row>
    <row r="7" spans="1:10" ht="27.6" x14ac:dyDescent="0.25">
      <c r="A7" s="177" t="s">
        <v>209</v>
      </c>
      <c r="B7" s="178" t="s">
        <v>239</v>
      </c>
      <c r="C7" s="178" t="s">
        <v>240</v>
      </c>
      <c r="D7" s="178" t="s">
        <v>157</v>
      </c>
      <c r="E7" s="178" t="s">
        <v>241</v>
      </c>
      <c r="F7" s="178" t="s">
        <v>242</v>
      </c>
      <c r="G7" s="178" t="s">
        <v>201</v>
      </c>
      <c r="H7" s="179" t="s">
        <v>89</v>
      </c>
      <c r="I7" s="183" t="s">
        <v>90</v>
      </c>
      <c r="J7" s="178" t="s">
        <v>237</v>
      </c>
    </row>
    <row r="8" spans="1:10" ht="27.6" x14ac:dyDescent="0.25">
      <c r="A8" s="181" t="s">
        <v>215</v>
      </c>
      <c r="B8" s="182" t="s">
        <v>233</v>
      </c>
      <c r="C8" s="182" t="s">
        <v>234</v>
      </c>
      <c r="D8" s="182" t="s">
        <v>157</v>
      </c>
      <c r="E8" s="182" t="s">
        <v>235</v>
      </c>
      <c r="F8" s="182" t="s">
        <v>236</v>
      </c>
      <c r="G8" s="182" t="s">
        <v>201</v>
      </c>
      <c r="H8" s="179" t="s">
        <v>89</v>
      </c>
      <c r="I8" s="183" t="s">
        <v>90</v>
      </c>
      <c r="J8" s="182" t="s">
        <v>237</v>
      </c>
    </row>
    <row r="9" spans="1:10" ht="27.6" x14ac:dyDescent="0.25">
      <c r="A9" s="177" t="s">
        <v>222</v>
      </c>
      <c r="B9" s="178" t="s">
        <v>210</v>
      </c>
      <c r="C9" s="178" t="s">
        <v>211</v>
      </c>
      <c r="D9" s="178" t="s">
        <v>206</v>
      </c>
      <c r="E9" s="178" t="s">
        <v>212</v>
      </c>
      <c r="F9" s="178" t="s">
        <v>213</v>
      </c>
      <c r="G9" s="178" t="s">
        <v>201</v>
      </c>
      <c r="H9" s="184" t="s">
        <v>84</v>
      </c>
      <c r="I9" s="185" t="s">
        <v>94</v>
      </c>
      <c r="J9" s="178" t="s">
        <v>214</v>
      </c>
    </row>
    <row r="10" spans="1:10" ht="27.6" x14ac:dyDescent="0.25">
      <c r="A10" s="181" t="s">
        <v>227</v>
      </c>
      <c r="B10" s="182" t="s">
        <v>216</v>
      </c>
      <c r="C10" s="182" t="s">
        <v>217</v>
      </c>
      <c r="D10" s="182" t="s">
        <v>206</v>
      </c>
      <c r="E10" s="182" t="s">
        <v>218</v>
      </c>
      <c r="F10" s="182" t="s">
        <v>219</v>
      </c>
      <c r="G10" s="182" t="s">
        <v>220</v>
      </c>
      <c r="H10" s="184" t="s">
        <v>84</v>
      </c>
      <c r="I10" s="185" t="s">
        <v>94</v>
      </c>
      <c r="J10" s="182" t="s">
        <v>221</v>
      </c>
    </row>
    <row r="11" spans="1:10" x14ac:dyDescent="0.25">
      <c r="A11" s="177" t="s">
        <v>232</v>
      </c>
      <c r="B11" s="178" t="s">
        <v>223</v>
      </c>
      <c r="C11" s="178" t="s">
        <v>224</v>
      </c>
      <c r="D11" s="178" t="s">
        <v>206</v>
      </c>
      <c r="E11" s="178" t="s">
        <v>225</v>
      </c>
      <c r="F11" s="178" t="s">
        <v>226</v>
      </c>
      <c r="G11" s="178" t="s">
        <v>201</v>
      </c>
      <c r="H11" s="184" t="s">
        <v>84</v>
      </c>
      <c r="I11" s="185" t="s">
        <v>94</v>
      </c>
      <c r="J11" s="178" t="s">
        <v>214</v>
      </c>
    </row>
    <row r="12" spans="1:10" x14ac:dyDescent="0.25">
      <c r="A12" s="181" t="s">
        <v>238</v>
      </c>
      <c r="B12" s="182" t="s">
        <v>228</v>
      </c>
      <c r="C12" s="182" t="s">
        <v>229</v>
      </c>
      <c r="D12" s="182" t="s">
        <v>206</v>
      </c>
      <c r="E12" s="182" t="s">
        <v>230</v>
      </c>
      <c r="F12" s="182" t="s">
        <v>231</v>
      </c>
      <c r="G12" s="182" t="s">
        <v>220</v>
      </c>
      <c r="H12" s="184" t="s">
        <v>84</v>
      </c>
      <c r="I12" s="185" t="s">
        <v>94</v>
      </c>
      <c r="J12" s="182" t="s">
        <v>221</v>
      </c>
    </row>
    <row r="13" spans="1:10" ht="27.6" x14ac:dyDescent="0.25">
      <c r="A13" s="177" t="s">
        <v>243</v>
      </c>
      <c r="B13" s="178" t="s">
        <v>244</v>
      </c>
      <c r="C13" s="178" t="s">
        <v>245</v>
      </c>
      <c r="D13" s="178" t="s">
        <v>246</v>
      </c>
      <c r="E13" s="178" t="s">
        <v>247</v>
      </c>
      <c r="F13" s="178" t="s">
        <v>248</v>
      </c>
      <c r="G13" s="178" t="s">
        <v>201</v>
      </c>
      <c r="H13" s="184" t="s">
        <v>84</v>
      </c>
      <c r="I13" s="185" t="s">
        <v>94</v>
      </c>
      <c r="J13" s="178" t="s">
        <v>221</v>
      </c>
    </row>
    <row r="14" spans="1:10" ht="27.6" x14ac:dyDescent="0.25">
      <c r="A14" s="181" t="s">
        <v>249</v>
      </c>
      <c r="B14" s="182" t="s">
        <v>256</v>
      </c>
      <c r="C14" s="182" t="s">
        <v>257</v>
      </c>
      <c r="D14" s="182" t="s">
        <v>157</v>
      </c>
      <c r="E14" s="182" t="s">
        <v>258</v>
      </c>
      <c r="F14" s="182" t="s">
        <v>259</v>
      </c>
      <c r="G14" s="182" t="s">
        <v>201</v>
      </c>
      <c r="H14" s="186" t="s">
        <v>102</v>
      </c>
      <c r="I14" s="187" t="s">
        <v>98</v>
      </c>
      <c r="J14" s="182" t="s">
        <v>237</v>
      </c>
    </row>
    <row r="15" spans="1:10" ht="27.6" x14ac:dyDescent="0.25">
      <c r="A15" s="177" t="s">
        <v>255</v>
      </c>
      <c r="B15" s="178" t="s">
        <v>261</v>
      </c>
      <c r="C15" s="178" t="s">
        <v>262</v>
      </c>
      <c r="D15" s="178" t="s">
        <v>252</v>
      </c>
      <c r="E15" s="178" t="s">
        <v>263</v>
      </c>
      <c r="F15" s="178" t="s">
        <v>264</v>
      </c>
      <c r="G15" s="178" t="s">
        <v>201</v>
      </c>
      <c r="H15" s="186" t="s">
        <v>102</v>
      </c>
      <c r="I15" s="187" t="s">
        <v>98</v>
      </c>
      <c r="J15" s="178" t="s">
        <v>265</v>
      </c>
    </row>
    <row r="16" spans="1:10" ht="27.6" x14ac:dyDescent="0.25">
      <c r="A16" s="181" t="s">
        <v>260</v>
      </c>
      <c r="B16" s="182" t="s">
        <v>267</v>
      </c>
      <c r="C16" s="182" t="s">
        <v>268</v>
      </c>
      <c r="D16" s="182" t="s">
        <v>252</v>
      </c>
      <c r="E16" s="182" t="s">
        <v>269</v>
      </c>
      <c r="F16" s="182" t="s">
        <v>270</v>
      </c>
      <c r="G16" s="182" t="s">
        <v>201</v>
      </c>
      <c r="H16" s="186" t="s">
        <v>102</v>
      </c>
      <c r="I16" s="187" t="s">
        <v>98</v>
      </c>
      <c r="J16" s="182" t="s">
        <v>271</v>
      </c>
    </row>
    <row r="17" spans="1:10" x14ac:dyDescent="0.25">
      <c r="A17" s="177" t="s">
        <v>266</v>
      </c>
      <c r="B17" s="178" t="s">
        <v>250</v>
      </c>
      <c r="C17" s="178" t="s">
        <v>251</v>
      </c>
      <c r="D17" s="178" t="s">
        <v>252</v>
      </c>
      <c r="E17" s="178" t="s">
        <v>253</v>
      </c>
      <c r="F17" s="178" t="s">
        <v>254</v>
      </c>
      <c r="G17" s="178" t="s">
        <v>201</v>
      </c>
      <c r="H17" s="186" t="s">
        <v>102</v>
      </c>
      <c r="I17" s="188" t="s">
        <v>103</v>
      </c>
      <c r="J17" s="178" t="s">
        <v>214</v>
      </c>
    </row>
    <row r="18" spans="1:10" ht="27.6" x14ac:dyDescent="0.25">
      <c r="A18" s="181" t="s">
        <v>272</v>
      </c>
      <c r="B18" s="182" t="s">
        <v>273</v>
      </c>
      <c r="C18" s="182" t="s">
        <v>274</v>
      </c>
      <c r="D18" s="182" t="s">
        <v>252</v>
      </c>
      <c r="E18" s="182" t="s">
        <v>275</v>
      </c>
      <c r="F18" s="182" t="s">
        <v>276</v>
      </c>
      <c r="G18" s="182" t="s">
        <v>201</v>
      </c>
      <c r="H18" s="186" t="s">
        <v>102</v>
      </c>
      <c r="I18" s="188" t="s">
        <v>103</v>
      </c>
      <c r="J18" s="182" t="s">
        <v>277</v>
      </c>
    </row>
    <row r="19" spans="1:10" x14ac:dyDescent="0.25">
      <c r="A19" s="177" t="s">
        <v>278</v>
      </c>
      <c r="B19" s="178" t="s">
        <v>279</v>
      </c>
      <c r="C19" s="178" t="s">
        <v>280</v>
      </c>
      <c r="D19" s="178" t="s">
        <v>206</v>
      </c>
      <c r="E19" s="178" t="s">
        <v>281</v>
      </c>
      <c r="F19" s="178" t="s">
        <v>282</v>
      </c>
      <c r="G19" s="178" t="s">
        <v>201</v>
      </c>
      <c r="H19" s="186" t="s">
        <v>102</v>
      </c>
      <c r="I19" s="188" t="s">
        <v>103</v>
      </c>
      <c r="J19" s="178" t="s">
        <v>214</v>
      </c>
    </row>
    <row r="20" spans="1:10" x14ac:dyDescent="0.25">
      <c r="A20" s="181" t="s">
        <v>283</v>
      </c>
      <c r="B20" s="182" t="s">
        <v>284</v>
      </c>
      <c r="C20" s="182" t="s">
        <v>285</v>
      </c>
      <c r="D20" s="182" t="s">
        <v>252</v>
      </c>
      <c r="E20" s="182" t="s">
        <v>286</v>
      </c>
      <c r="F20" s="182" t="s">
        <v>287</v>
      </c>
      <c r="G20" s="182" t="s">
        <v>201</v>
      </c>
      <c r="H20" s="186" t="s">
        <v>102</v>
      </c>
      <c r="I20" s="188" t="s">
        <v>103</v>
      </c>
      <c r="J20" s="182" t="s">
        <v>214</v>
      </c>
    </row>
    <row r="21" spans="1:10" ht="12.6" customHeight="1" x14ac:dyDescent="0.25">
      <c r="A21" s="177" t="s">
        <v>766</v>
      </c>
      <c r="B21" s="178" t="s">
        <v>767</v>
      </c>
      <c r="C21" s="178" t="s">
        <v>768</v>
      </c>
      <c r="D21" s="178" t="s">
        <v>769</v>
      </c>
      <c r="E21" s="178" t="s">
        <v>770</v>
      </c>
      <c r="F21" s="178" t="s">
        <v>771</v>
      </c>
      <c r="G21" s="178" t="s">
        <v>201</v>
      </c>
      <c r="H21" s="186" t="s">
        <v>102</v>
      </c>
      <c r="I21" s="189" t="s">
        <v>107</v>
      </c>
      <c r="J21" s="178" t="s">
        <v>772</v>
      </c>
    </row>
    <row r="22" spans="1:10" ht="12.6" customHeight="1" x14ac:dyDescent="0.25">
      <c r="A22" s="181" t="s">
        <v>773</v>
      </c>
      <c r="B22" s="182" t="s">
        <v>774</v>
      </c>
      <c r="C22" s="182" t="s">
        <v>775</v>
      </c>
      <c r="D22" s="182" t="s">
        <v>776</v>
      </c>
      <c r="E22" s="182" t="s">
        <v>777</v>
      </c>
      <c r="F22" s="182" t="s">
        <v>778</v>
      </c>
      <c r="G22" s="182" t="s">
        <v>201</v>
      </c>
      <c r="H22" s="186" t="s">
        <v>102</v>
      </c>
      <c r="I22" s="189" t="s">
        <v>107</v>
      </c>
      <c r="J22" s="182" t="s">
        <v>779</v>
      </c>
    </row>
    <row r="23" spans="1:10" s="63" customFormat="1" x14ac:dyDescent="0.25">
      <c r="C23" s="55"/>
      <c r="D23" s="55"/>
      <c r="E23" s="55"/>
      <c r="F23" s="55"/>
      <c r="G23" s="55"/>
      <c r="H23" s="55"/>
      <c r="I23" s="55"/>
      <c r="J23" s="55"/>
    </row>
    <row r="24" spans="1:10" s="63" customFormat="1" ht="15" thickBot="1" x14ac:dyDescent="0.3">
      <c r="A24" s="190" t="s">
        <v>288</v>
      </c>
      <c r="B24" s="190"/>
      <c r="C24" s="190"/>
      <c r="D24" s="190"/>
      <c r="E24" s="190"/>
      <c r="F24" s="190"/>
      <c r="G24" s="190"/>
      <c r="H24" s="190"/>
      <c r="I24" s="190"/>
      <c r="J24" s="190"/>
    </row>
    <row r="25" spans="1:10" s="63" customFormat="1" ht="14.4" thickBot="1" x14ac:dyDescent="0.3">
      <c r="A25" s="64" t="s">
        <v>201</v>
      </c>
      <c r="B25" s="55" t="s">
        <v>289</v>
      </c>
      <c r="C25" s="55"/>
      <c r="D25" s="55"/>
      <c r="E25" s="55"/>
      <c r="F25" s="55"/>
      <c r="G25" s="55"/>
      <c r="H25" s="55"/>
      <c r="I25" s="55"/>
      <c r="J25" s="55"/>
    </row>
    <row r="26" spans="1:10" s="63" customFormat="1" ht="14.4" thickBot="1" x14ac:dyDescent="0.3">
      <c r="A26" s="65" t="s">
        <v>220</v>
      </c>
      <c r="B26" s="55" t="s">
        <v>290</v>
      </c>
      <c r="C26" s="55"/>
      <c r="D26" s="55"/>
      <c r="E26" s="55"/>
      <c r="F26" s="55"/>
      <c r="G26" s="55"/>
      <c r="H26" s="55"/>
      <c r="I26" s="55"/>
      <c r="J26" s="55"/>
    </row>
    <row r="27" spans="1:10" s="63" customFormat="1" ht="12.6" customHeight="1" thickBot="1" x14ac:dyDescent="0.3">
      <c r="A27" s="66" t="s">
        <v>291</v>
      </c>
      <c r="B27" s="55" t="s">
        <v>292</v>
      </c>
      <c r="C27" s="55"/>
      <c r="D27" s="55"/>
      <c r="E27" s="55"/>
      <c r="F27" s="55"/>
      <c r="G27" s="55"/>
      <c r="H27" s="55"/>
      <c r="I27" s="55"/>
      <c r="J27" s="55"/>
    </row>
    <row r="28" spans="1:10" s="63" customFormat="1" ht="12.6" customHeight="1" x14ac:dyDescent="0.25">
      <c r="A28" s="55" t="s">
        <v>293</v>
      </c>
      <c r="B28" s="55" t="s">
        <v>294</v>
      </c>
      <c r="C28" s="55"/>
      <c r="D28" s="55"/>
      <c r="E28" s="55"/>
      <c r="F28" s="55"/>
      <c r="G28" s="55"/>
      <c r="H28" s="55"/>
      <c r="I28" s="55"/>
      <c r="J28" s="55"/>
    </row>
    <row r="29" spans="1:10" s="63" customFormat="1" ht="12.6" customHeight="1" x14ac:dyDescent="0.25"/>
    <row r="30" spans="1:10" s="63" customFormat="1" ht="12.6" customHeight="1" x14ac:dyDescent="0.25"/>
    <row r="31" spans="1:10" s="63" customFormat="1" ht="12.6" customHeight="1" x14ac:dyDescent="0.25"/>
    <row r="32" spans="1:10" s="63" customFormat="1" ht="12.6" customHeight="1" x14ac:dyDescent="0.25">
      <c r="A32" s="55"/>
      <c r="B32" s="55"/>
      <c r="C32" s="55"/>
      <c r="D32" s="55"/>
      <c r="E32" s="55"/>
      <c r="F32" s="55"/>
      <c r="G32" s="55"/>
      <c r="H32" s="55"/>
      <c r="I32" s="55"/>
      <c r="J32" s="55"/>
    </row>
    <row r="33" spans="1:1" ht="12.6" customHeight="1" x14ac:dyDescent="0.25"/>
    <row r="34" spans="1:1" ht="12.6" customHeight="1" x14ac:dyDescent="0.25">
      <c r="A34" s="61"/>
    </row>
    <row r="35" spans="1:1" ht="12.6" customHeight="1" x14ac:dyDescent="0.25">
      <c r="A35" s="62"/>
    </row>
    <row r="36" spans="1:1" ht="12.6" customHeight="1" x14ac:dyDescent="0.25">
      <c r="A36" s="62"/>
    </row>
    <row r="37" spans="1:1" ht="12.6" customHeight="1" x14ac:dyDescent="0.25">
      <c r="A37" s="62"/>
    </row>
    <row r="38" spans="1:1" ht="12.6" customHeight="1" x14ac:dyDescent="0.25">
      <c r="A38" s="63"/>
    </row>
    <row r="39" spans="1:1" ht="12.6" customHeight="1" x14ac:dyDescent="0.25"/>
    <row r="40" spans="1:1" ht="12.6" customHeight="1" x14ac:dyDescent="0.25"/>
    <row r="41" spans="1:1" ht="12.6" customHeight="1" x14ac:dyDescent="0.25"/>
    <row r="42" spans="1:1" ht="12.6" customHeight="1" x14ac:dyDescent="0.25"/>
    <row r="43" spans="1:1" ht="12.6" customHeight="1" x14ac:dyDescent="0.25"/>
    <row r="44" spans="1:1" ht="12.6" customHeight="1" x14ac:dyDescent="0.25"/>
    <row r="45" spans="1:1" ht="12.6" customHeight="1" x14ac:dyDescent="0.25"/>
    <row r="46" spans="1:1" ht="12.6" customHeight="1" x14ac:dyDescent="0.25"/>
    <row r="47" spans="1:1" ht="12.6" customHeight="1" x14ac:dyDescent="0.25"/>
    <row r="48" spans="1:1"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mergeCells count="3">
    <mergeCell ref="A1:J1"/>
    <mergeCell ref="A2:J2"/>
    <mergeCell ref="A24:J24"/>
  </mergeCells>
  <conditionalFormatting sqref="H5:H11 H13:H23 H32 H25:H28">
    <cfRule type="cellIs" dxfId="23" priority="1" operator="equal">
      <formula>"Hoàn thành"</formula>
    </cfRule>
    <cfRule type="cellIs" dxfId="22" priority="2" operator="equal">
      <formula>"Đang làm"</formula>
    </cfRule>
    <cfRule type="cellIs" dxfId="21" priority="3" operator="equal">
      <formula>"Bị kẹt"</formula>
    </cfRule>
    <cfRule type="cellIs" dxfId="20" priority="4" operator="equal">
      <formula>"Chưa bắt đầu"</formula>
    </cfRule>
  </conditionalFormatting>
  <dataValidations count="3">
    <dataValidation type="list" allowBlank="1" sqref="I5:I11 I13:I23 I25:I28 I32" xr:uid="{00000000-0002-0000-0300-000000000000}">
      <formula1>"Sprint 1,Sprint 2,Sprint 3,Sprint 4"</formula1>
    </dataValidation>
    <dataValidation type="list" allowBlank="1" sqref="H5:H11 H13:H23 H25:H28 H32" xr:uid="{00000000-0002-0000-0300-000001000000}">
      <formula1>"Chưa làm,Đang làm,Đang review,Hoàn thành,Bị kẹt,Không làm"</formula1>
    </dataValidation>
    <dataValidation type="list" allowBlank="1" sqref="G5:G11 G13:G23 G25:G28 G32" xr:uid="{00000000-0002-0000-0300-000002000000}">
      <formula1>"Bắt buộc,Nên có,Có thì tốt,Không làm"</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I1000"/>
  <sheetViews>
    <sheetView workbookViewId="0">
      <pane ySplit="4" topLeftCell="A5" activePane="bottomLeft" state="frozen"/>
      <selection pane="bottomLeft" activeCell="G14" sqref="G14"/>
    </sheetView>
  </sheetViews>
  <sheetFormatPr defaultColWidth="14.44140625" defaultRowHeight="13.8" x14ac:dyDescent="0.25"/>
  <cols>
    <col min="1" max="1" width="8" style="26" customWidth="1"/>
    <col min="2" max="2" width="36.5546875" style="26" bestFit="1" customWidth="1"/>
    <col min="3" max="3" width="42" style="26" customWidth="1"/>
    <col min="4" max="6" width="14" style="26" customWidth="1"/>
    <col min="7" max="7" width="22" style="26" customWidth="1"/>
    <col min="8" max="8" width="16" style="26" customWidth="1"/>
    <col min="9" max="9" width="40" style="26" customWidth="1"/>
    <col min="10" max="26" width="8.6640625" style="26" customWidth="1"/>
    <col min="27" max="16384" width="14.44140625" style="26"/>
  </cols>
  <sheetData>
    <row r="1" spans="1:9" ht="21" x14ac:dyDescent="0.4">
      <c r="A1" s="59" t="s">
        <v>295</v>
      </c>
      <c r="B1" s="59"/>
      <c r="C1" s="59"/>
      <c r="D1" s="59"/>
      <c r="E1" s="59"/>
      <c r="F1" s="59"/>
      <c r="G1" s="59"/>
      <c r="H1" s="59"/>
      <c r="I1" s="59"/>
    </row>
    <row r="2" spans="1:9" ht="14.4" x14ac:dyDescent="0.3">
      <c r="A2" s="60" t="s">
        <v>695</v>
      </c>
      <c r="B2" s="60"/>
      <c r="C2" s="60"/>
      <c r="D2" s="60"/>
      <c r="E2" s="60"/>
      <c r="F2" s="60"/>
      <c r="G2" s="60"/>
      <c r="H2" s="60"/>
      <c r="I2" s="60"/>
    </row>
    <row r="4" spans="1:9" ht="27.6" x14ac:dyDescent="0.25">
      <c r="A4" s="48" t="s">
        <v>186</v>
      </c>
      <c r="B4" s="48" t="s">
        <v>296</v>
      </c>
      <c r="C4" s="48" t="s">
        <v>297</v>
      </c>
      <c r="D4" s="48" t="s">
        <v>298</v>
      </c>
      <c r="E4" s="48" t="s">
        <v>80</v>
      </c>
      <c r="F4" s="48" t="s">
        <v>81</v>
      </c>
      <c r="G4" s="48" t="s">
        <v>299</v>
      </c>
      <c r="H4" s="48" t="s">
        <v>85</v>
      </c>
      <c r="I4" s="48" t="s">
        <v>300</v>
      </c>
    </row>
    <row r="5" spans="1:9" ht="27.6" x14ac:dyDescent="0.25">
      <c r="A5" s="27" t="s">
        <v>301</v>
      </c>
      <c r="B5" s="27" t="s">
        <v>302</v>
      </c>
      <c r="C5" s="27" t="s">
        <v>303</v>
      </c>
      <c r="D5" s="27" t="s">
        <v>304</v>
      </c>
      <c r="E5" s="39" t="s">
        <v>62</v>
      </c>
      <c r="F5" s="107">
        <v>46148</v>
      </c>
      <c r="G5" s="27" t="s">
        <v>66</v>
      </c>
      <c r="H5" s="27" t="s">
        <v>89</v>
      </c>
      <c r="I5" s="27" t="s">
        <v>305</v>
      </c>
    </row>
    <row r="6" spans="1:9" ht="27.6" x14ac:dyDescent="0.25">
      <c r="A6" s="29" t="s">
        <v>306</v>
      </c>
      <c r="B6" s="29" t="s">
        <v>307</v>
      </c>
      <c r="C6" s="29" t="s">
        <v>308</v>
      </c>
      <c r="D6" s="29" t="s">
        <v>309</v>
      </c>
      <c r="E6" s="40" t="s">
        <v>92</v>
      </c>
      <c r="F6" s="42">
        <v>46362</v>
      </c>
      <c r="G6" s="29" t="s">
        <v>128</v>
      </c>
      <c r="H6" s="29" t="s">
        <v>89</v>
      </c>
      <c r="I6" s="29" t="s">
        <v>310</v>
      </c>
    </row>
    <row r="7" spans="1:9" s="63" customFormat="1" ht="41.4" x14ac:dyDescent="0.25">
      <c r="A7" s="55" t="s">
        <v>311</v>
      </c>
      <c r="B7" s="55" t="s">
        <v>312</v>
      </c>
      <c r="C7" s="55" t="s">
        <v>313</v>
      </c>
      <c r="D7" s="55" t="s">
        <v>314</v>
      </c>
      <c r="E7" s="108" t="s">
        <v>96</v>
      </c>
      <c r="F7" s="108" t="s">
        <v>97</v>
      </c>
      <c r="G7" s="55" t="s">
        <v>315</v>
      </c>
      <c r="H7" s="55" t="s">
        <v>84</v>
      </c>
      <c r="I7" s="55" t="s">
        <v>316</v>
      </c>
    </row>
    <row r="8" spans="1:9" ht="27.6" x14ac:dyDescent="0.25">
      <c r="A8" s="29" t="s">
        <v>317</v>
      </c>
      <c r="B8" s="29" t="s">
        <v>99</v>
      </c>
      <c r="C8" s="29" t="s">
        <v>318</v>
      </c>
      <c r="D8" s="29" t="s">
        <v>319</v>
      </c>
      <c r="E8" s="40" t="s">
        <v>100</v>
      </c>
      <c r="F8" s="40" t="s">
        <v>101</v>
      </c>
      <c r="G8" s="29" t="s">
        <v>320</v>
      </c>
      <c r="H8" s="29" t="s">
        <v>102</v>
      </c>
      <c r="I8" s="29" t="s">
        <v>321</v>
      </c>
    </row>
    <row r="9" spans="1:9" ht="27.6" x14ac:dyDescent="0.25">
      <c r="A9" s="27" t="s">
        <v>322</v>
      </c>
      <c r="B9" s="27" t="s">
        <v>323</v>
      </c>
      <c r="C9" s="27" t="s">
        <v>324</v>
      </c>
      <c r="D9" s="27" t="s">
        <v>325</v>
      </c>
      <c r="E9" s="39" t="s">
        <v>105</v>
      </c>
      <c r="F9" s="39" t="s">
        <v>106</v>
      </c>
      <c r="G9" s="27" t="s">
        <v>326</v>
      </c>
      <c r="H9" s="27" t="s">
        <v>102</v>
      </c>
      <c r="I9" s="27" t="s">
        <v>327</v>
      </c>
    </row>
    <row r="10" spans="1:9" ht="27.6" x14ac:dyDescent="0.25">
      <c r="A10" s="29" t="s">
        <v>328</v>
      </c>
      <c r="B10" s="29" t="s">
        <v>329</v>
      </c>
      <c r="C10" s="29" t="s">
        <v>330</v>
      </c>
      <c r="D10" s="29" t="s">
        <v>331</v>
      </c>
      <c r="E10" s="40" t="s">
        <v>109</v>
      </c>
      <c r="F10" s="40" t="s">
        <v>64</v>
      </c>
      <c r="G10" s="29" t="s">
        <v>326</v>
      </c>
      <c r="H10" s="29" t="s">
        <v>102</v>
      </c>
      <c r="I10" s="29" t="s">
        <v>333</v>
      </c>
    </row>
    <row r="11" spans="1:9" s="63" customFormat="1" x14ac:dyDescent="0.25">
      <c r="A11" s="55"/>
      <c r="B11" s="55"/>
      <c r="C11" s="55"/>
      <c r="D11" s="55"/>
      <c r="E11" s="55"/>
      <c r="F11" s="55"/>
      <c r="G11" s="55"/>
      <c r="H11" s="55"/>
      <c r="I11" s="55"/>
    </row>
    <row r="12" spans="1:9" s="63" customFormat="1" x14ac:dyDescent="0.25">
      <c r="A12" s="55"/>
      <c r="B12" s="55"/>
      <c r="C12" s="55"/>
      <c r="D12" s="55"/>
      <c r="E12" s="55"/>
      <c r="F12" s="55"/>
      <c r="G12" s="55"/>
      <c r="H12" s="55"/>
      <c r="I12" s="55"/>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mergeCells count="2">
    <mergeCell ref="A1:I1"/>
    <mergeCell ref="A2:I2"/>
  </mergeCells>
  <conditionalFormatting sqref="H5:H12">
    <cfRule type="cellIs" dxfId="19" priority="1" operator="equal">
      <formula>"Hoàn thành"</formula>
    </cfRule>
    <cfRule type="cellIs" dxfId="18" priority="2" operator="equal">
      <formula>"Đang làm"</formula>
    </cfRule>
    <cfRule type="cellIs" dxfId="17" priority="3" operator="equal">
      <formula>"Bị kẹt"</formula>
    </cfRule>
    <cfRule type="cellIs" dxfId="16" priority="4" operator="equal">
      <formula>"Chưa bắt đầu"</formula>
    </cfRule>
  </conditionalFormatting>
  <dataValidations count="1">
    <dataValidation type="list" allowBlank="1" sqref="H5:H12" xr:uid="{00000000-0002-0000-0400-000000000000}">
      <formula1>"Chưa bắt đầu,Đang làm,Hoàn thành,Bị trễ,Bỏ qua"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N41"/>
  <sheetViews>
    <sheetView workbookViewId="0">
      <pane ySplit="4" topLeftCell="A5" activePane="bottomLeft" state="frozen"/>
      <selection pane="bottomLeft" activeCell="F6" sqref="F6:F8"/>
    </sheetView>
  </sheetViews>
  <sheetFormatPr defaultColWidth="14.44140625" defaultRowHeight="13.8" x14ac:dyDescent="0.25"/>
  <cols>
    <col min="1" max="1" width="5.6640625" style="83" customWidth="1"/>
    <col min="2" max="2" width="12" style="26" customWidth="1"/>
    <col min="3" max="3" width="50.21875" style="26" bestFit="1" customWidth="1"/>
    <col min="4" max="4" width="18" style="26" customWidth="1"/>
    <col min="5" max="5" width="48" style="26" customWidth="1"/>
    <col min="6" max="7" width="14" style="26" customWidth="1"/>
    <col min="8" max="8" width="12" style="26" customWidth="1"/>
    <col min="9" max="9" width="22" style="26" customWidth="1"/>
    <col min="10" max="10" width="14" style="26" customWidth="1"/>
    <col min="11" max="11" width="16" style="26" customWidth="1"/>
    <col min="12" max="14" width="24" style="26" customWidth="1"/>
    <col min="15" max="26" width="8.6640625" style="26" customWidth="1"/>
    <col min="27" max="16384" width="14.44140625" style="26"/>
  </cols>
  <sheetData>
    <row r="1" spans="1:14" ht="21" x14ac:dyDescent="0.4">
      <c r="A1" s="74" t="s">
        <v>334</v>
      </c>
      <c r="B1" s="74"/>
      <c r="C1" s="74"/>
      <c r="D1" s="74"/>
      <c r="E1" s="74"/>
      <c r="F1" s="74"/>
      <c r="G1" s="74"/>
      <c r="H1" s="74"/>
      <c r="I1" s="74"/>
      <c r="J1" s="74"/>
      <c r="K1" s="74"/>
      <c r="L1" s="74"/>
      <c r="M1" s="74"/>
      <c r="N1" s="74"/>
    </row>
    <row r="2" spans="1:14" ht="14.4" x14ac:dyDescent="0.3">
      <c r="A2" s="75" t="s">
        <v>696</v>
      </c>
      <c r="B2" s="75"/>
      <c r="C2" s="75"/>
      <c r="D2" s="75"/>
      <c r="E2" s="75"/>
      <c r="F2" s="75"/>
      <c r="G2" s="75"/>
      <c r="H2" s="75"/>
      <c r="I2" s="75"/>
      <c r="J2" s="75"/>
      <c r="K2" s="75"/>
      <c r="L2" s="75"/>
      <c r="M2" s="75"/>
      <c r="N2" s="75"/>
    </row>
    <row r="4" spans="1:14" s="81" customFormat="1" ht="27.6" x14ac:dyDescent="0.25">
      <c r="A4" s="80" t="s">
        <v>124</v>
      </c>
      <c r="B4" s="80" t="s">
        <v>335</v>
      </c>
      <c r="C4" s="80" t="s">
        <v>336</v>
      </c>
      <c r="D4" s="80" t="s">
        <v>337</v>
      </c>
      <c r="E4" s="80" t="s">
        <v>297</v>
      </c>
      <c r="F4" s="80" t="s">
        <v>78</v>
      </c>
      <c r="G4" s="80" t="s">
        <v>338</v>
      </c>
      <c r="H4" s="80" t="s">
        <v>339</v>
      </c>
      <c r="I4" s="80" t="s">
        <v>340</v>
      </c>
      <c r="J4" s="80" t="s">
        <v>341</v>
      </c>
      <c r="K4" s="80" t="s">
        <v>85</v>
      </c>
      <c r="L4" s="80" t="s">
        <v>342</v>
      </c>
      <c r="M4" s="80" t="s">
        <v>343</v>
      </c>
      <c r="N4" s="80" t="s">
        <v>126</v>
      </c>
    </row>
    <row r="5" spans="1:14" x14ac:dyDescent="0.25">
      <c r="A5" s="71"/>
      <c r="B5" s="67" t="s">
        <v>697</v>
      </c>
      <c r="C5" s="76"/>
      <c r="D5" s="76"/>
      <c r="E5" s="76"/>
      <c r="F5" s="76"/>
      <c r="G5" s="76"/>
      <c r="H5" s="76"/>
      <c r="I5" s="76"/>
      <c r="J5" s="76"/>
      <c r="K5" s="76"/>
      <c r="L5" s="76"/>
      <c r="M5" s="76"/>
      <c r="N5" s="77"/>
    </row>
    <row r="6" spans="1:14" ht="27.6" x14ac:dyDescent="0.25">
      <c r="A6" s="38">
        <v>1</v>
      </c>
      <c r="B6" s="27" t="s">
        <v>344</v>
      </c>
      <c r="C6" s="27" t="s">
        <v>345</v>
      </c>
      <c r="D6" s="27" t="s">
        <v>195</v>
      </c>
      <c r="E6" s="27" t="s">
        <v>346</v>
      </c>
      <c r="F6" s="27" t="s">
        <v>86</v>
      </c>
      <c r="G6" s="27" t="s">
        <v>347</v>
      </c>
      <c r="H6" s="27">
        <v>4</v>
      </c>
      <c r="I6" s="46" t="s">
        <v>66</v>
      </c>
      <c r="J6" s="27" t="s">
        <v>88</v>
      </c>
      <c r="K6" s="27" t="s">
        <v>89</v>
      </c>
      <c r="L6" s="27" t="s">
        <v>348</v>
      </c>
      <c r="M6" s="27"/>
      <c r="N6" s="27" t="s">
        <v>349</v>
      </c>
    </row>
    <row r="7" spans="1:14" ht="27.6" x14ac:dyDescent="0.25">
      <c r="A7" s="38">
        <v>2</v>
      </c>
      <c r="B7" s="27" t="s">
        <v>350</v>
      </c>
      <c r="C7" s="27" t="s">
        <v>351</v>
      </c>
      <c r="D7" s="27" t="s">
        <v>352</v>
      </c>
      <c r="E7" s="27" t="s">
        <v>353</v>
      </c>
      <c r="F7" s="27" t="s">
        <v>86</v>
      </c>
      <c r="G7" s="27" t="s">
        <v>347</v>
      </c>
      <c r="H7" s="27">
        <v>8</v>
      </c>
      <c r="I7" s="46" t="s">
        <v>66</v>
      </c>
      <c r="J7" s="27" t="s">
        <v>88</v>
      </c>
      <c r="K7" s="27" t="s">
        <v>89</v>
      </c>
      <c r="L7" s="27" t="s">
        <v>354</v>
      </c>
      <c r="M7" s="27"/>
      <c r="N7" s="27" t="s">
        <v>355</v>
      </c>
    </row>
    <row r="8" spans="1:14" ht="27.6" x14ac:dyDescent="0.25">
      <c r="A8" s="38">
        <v>3</v>
      </c>
      <c r="B8" s="27" t="s">
        <v>356</v>
      </c>
      <c r="C8" s="27" t="s">
        <v>357</v>
      </c>
      <c r="D8" s="27" t="s">
        <v>243</v>
      </c>
      <c r="E8" s="27" t="s">
        <v>358</v>
      </c>
      <c r="F8" s="27" t="s">
        <v>86</v>
      </c>
      <c r="G8" s="27" t="s">
        <v>347</v>
      </c>
      <c r="H8" s="27">
        <v>6</v>
      </c>
      <c r="I8" s="46" t="s">
        <v>128</v>
      </c>
      <c r="J8" s="27" t="s">
        <v>88</v>
      </c>
      <c r="K8" s="27" t="s">
        <v>89</v>
      </c>
      <c r="L8" s="27" t="s">
        <v>359</v>
      </c>
      <c r="M8" s="27"/>
      <c r="N8" s="27" t="s">
        <v>360</v>
      </c>
    </row>
    <row r="9" spans="1:14" x14ac:dyDescent="0.25">
      <c r="A9" s="35"/>
      <c r="B9" s="68" t="s">
        <v>698</v>
      </c>
      <c r="C9" s="69"/>
      <c r="D9" s="69"/>
      <c r="E9" s="69"/>
      <c r="F9" s="69"/>
      <c r="G9" s="69"/>
      <c r="H9" s="69"/>
      <c r="I9" s="69"/>
      <c r="J9" s="69"/>
      <c r="K9" s="69"/>
      <c r="L9" s="69"/>
      <c r="M9" s="69"/>
      <c r="N9" s="70"/>
    </row>
    <row r="10" spans="1:14" ht="27.6" x14ac:dyDescent="0.25">
      <c r="A10" s="38">
        <v>4</v>
      </c>
      <c r="B10" s="27" t="s">
        <v>361</v>
      </c>
      <c r="C10" s="27" t="s">
        <v>362</v>
      </c>
      <c r="D10" s="27" t="s">
        <v>363</v>
      </c>
      <c r="E10" s="27" t="s">
        <v>364</v>
      </c>
      <c r="F10" s="27" t="s">
        <v>90</v>
      </c>
      <c r="G10" s="27" t="s">
        <v>347</v>
      </c>
      <c r="H10" s="27">
        <v>6</v>
      </c>
      <c r="I10" s="46" t="s">
        <v>147</v>
      </c>
      <c r="J10" s="27" t="s">
        <v>93</v>
      </c>
      <c r="K10" s="27" t="s">
        <v>89</v>
      </c>
      <c r="L10" s="27" t="s">
        <v>365</v>
      </c>
      <c r="M10" s="27"/>
      <c r="N10" s="27" t="s">
        <v>366</v>
      </c>
    </row>
    <row r="11" spans="1:14" s="63" customFormat="1" ht="27.6" x14ac:dyDescent="0.25">
      <c r="A11" s="82">
        <v>5</v>
      </c>
      <c r="B11" s="73" t="s">
        <v>367</v>
      </c>
      <c r="C11" s="78" t="s">
        <v>368</v>
      </c>
      <c r="D11" s="78" t="s">
        <v>243</v>
      </c>
      <c r="E11" s="78" t="s">
        <v>369</v>
      </c>
      <c r="F11" s="78" t="s">
        <v>90</v>
      </c>
      <c r="G11" s="78" t="s">
        <v>347</v>
      </c>
      <c r="H11" s="78">
        <v>8</v>
      </c>
      <c r="I11" s="78" t="s">
        <v>128</v>
      </c>
      <c r="J11" s="78" t="s">
        <v>93</v>
      </c>
      <c r="K11" s="78" t="s">
        <v>89</v>
      </c>
      <c r="L11" s="78" t="s">
        <v>370</v>
      </c>
      <c r="M11" s="78"/>
      <c r="N11" s="79" t="s">
        <v>371</v>
      </c>
    </row>
    <row r="12" spans="1:14" ht="27.6" x14ac:dyDescent="0.25">
      <c r="A12" s="38">
        <v>6</v>
      </c>
      <c r="B12" s="27" t="s">
        <v>372</v>
      </c>
      <c r="C12" s="27" t="s">
        <v>373</v>
      </c>
      <c r="D12" s="27" t="s">
        <v>255</v>
      </c>
      <c r="E12" s="27" t="s">
        <v>374</v>
      </c>
      <c r="F12" s="27" t="s">
        <v>90</v>
      </c>
      <c r="G12" s="27" t="s">
        <v>347</v>
      </c>
      <c r="H12" s="27">
        <v>10</v>
      </c>
      <c r="I12" s="46" t="s">
        <v>147</v>
      </c>
      <c r="J12" s="27" t="s">
        <v>93</v>
      </c>
      <c r="K12" s="27" t="s">
        <v>89</v>
      </c>
      <c r="L12" s="27" t="s">
        <v>375</v>
      </c>
      <c r="M12" s="27"/>
      <c r="N12" s="27" t="s">
        <v>376</v>
      </c>
    </row>
    <row r="13" spans="1:14" x14ac:dyDescent="0.25">
      <c r="A13" s="35"/>
      <c r="B13" s="68" t="s">
        <v>377</v>
      </c>
      <c r="C13" s="69"/>
      <c r="D13" s="69"/>
      <c r="E13" s="69"/>
      <c r="F13" s="69"/>
      <c r="G13" s="69"/>
      <c r="H13" s="69"/>
      <c r="I13" s="69"/>
      <c r="J13" s="69"/>
      <c r="K13" s="69"/>
      <c r="L13" s="69"/>
      <c r="M13" s="69"/>
      <c r="N13" s="70"/>
    </row>
    <row r="14" spans="1:14" ht="41.4" x14ac:dyDescent="0.25">
      <c r="A14" s="38">
        <v>7</v>
      </c>
      <c r="B14" s="27" t="s">
        <v>378</v>
      </c>
      <c r="C14" s="27" t="s">
        <v>379</v>
      </c>
      <c r="D14" s="27" t="s">
        <v>380</v>
      </c>
      <c r="E14" s="27" t="s">
        <v>381</v>
      </c>
      <c r="F14" s="27" t="s">
        <v>94</v>
      </c>
      <c r="G14" s="27" t="s">
        <v>347</v>
      </c>
      <c r="H14" s="27">
        <v>10</v>
      </c>
      <c r="I14" s="46" t="s">
        <v>128</v>
      </c>
      <c r="J14" s="27" t="s">
        <v>382</v>
      </c>
      <c r="K14" s="27" t="s">
        <v>84</v>
      </c>
      <c r="L14" s="27" t="s">
        <v>383</v>
      </c>
      <c r="M14" s="27"/>
      <c r="N14" s="27" t="s">
        <v>384</v>
      </c>
    </row>
    <row r="15" spans="1:14" ht="27.6" x14ac:dyDescent="0.25">
      <c r="A15" s="38">
        <v>8</v>
      </c>
      <c r="B15" s="27" t="s">
        <v>385</v>
      </c>
      <c r="C15" s="27" t="s">
        <v>386</v>
      </c>
      <c r="D15" s="27" t="s">
        <v>387</v>
      </c>
      <c r="E15" s="27" t="s">
        <v>388</v>
      </c>
      <c r="F15" s="27" t="s">
        <v>94</v>
      </c>
      <c r="G15" s="27" t="s">
        <v>347</v>
      </c>
      <c r="H15" s="27">
        <v>8</v>
      </c>
      <c r="I15" s="46" t="s">
        <v>128</v>
      </c>
      <c r="J15" s="27" t="s">
        <v>389</v>
      </c>
      <c r="K15" s="27" t="s">
        <v>84</v>
      </c>
      <c r="L15" s="27" t="s">
        <v>390</v>
      </c>
      <c r="M15" s="27"/>
      <c r="N15" s="27" t="s">
        <v>391</v>
      </c>
    </row>
    <row r="16" spans="1:14" s="63" customFormat="1" ht="41.4" x14ac:dyDescent="0.25">
      <c r="A16" s="82">
        <v>9</v>
      </c>
      <c r="B16" s="73" t="s">
        <v>392</v>
      </c>
      <c r="C16" s="78" t="s">
        <v>393</v>
      </c>
      <c r="D16" s="78" t="s">
        <v>363</v>
      </c>
      <c r="E16" s="78" t="s">
        <v>394</v>
      </c>
      <c r="F16" s="78" t="s">
        <v>94</v>
      </c>
      <c r="G16" s="78" t="s">
        <v>347</v>
      </c>
      <c r="H16" s="78">
        <v>12</v>
      </c>
      <c r="I16" s="78" t="s">
        <v>147</v>
      </c>
      <c r="J16" s="78" t="s">
        <v>395</v>
      </c>
      <c r="K16" s="78" t="s">
        <v>84</v>
      </c>
      <c r="L16" s="78" t="s">
        <v>396</v>
      </c>
      <c r="M16" s="78"/>
      <c r="N16" s="79" t="s">
        <v>397</v>
      </c>
    </row>
    <row r="17" spans="1:14" ht="41.4" x14ac:dyDescent="0.25">
      <c r="A17" s="38">
        <v>10</v>
      </c>
      <c r="B17" s="27" t="s">
        <v>398</v>
      </c>
      <c r="C17" s="27" t="s">
        <v>399</v>
      </c>
      <c r="D17" s="27" t="s">
        <v>255</v>
      </c>
      <c r="E17" s="27" t="s">
        <v>400</v>
      </c>
      <c r="F17" s="27" t="s">
        <v>94</v>
      </c>
      <c r="G17" s="27" t="s">
        <v>347</v>
      </c>
      <c r="H17" s="27">
        <v>10</v>
      </c>
      <c r="I17" s="46" t="s">
        <v>147</v>
      </c>
      <c r="J17" s="27" t="s">
        <v>97</v>
      </c>
      <c r="K17" s="27" t="s">
        <v>84</v>
      </c>
      <c r="L17" s="27" t="s">
        <v>401</v>
      </c>
      <c r="M17" s="27"/>
      <c r="N17" s="27" t="s">
        <v>402</v>
      </c>
    </row>
    <row r="18" spans="1:14" ht="27.6" x14ac:dyDescent="0.25">
      <c r="A18" s="38">
        <v>11</v>
      </c>
      <c r="B18" s="27" t="s">
        <v>403</v>
      </c>
      <c r="C18" s="27" t="s">
        <v>404</v>
      </c>
      <c r="D18" s="27" t="s">
        <v>352</v>
      </c>
      <c r="E18" s="27" t="s">
        <v>405</v>
      </c>
      <c r="F18" s="27" t="s">
        <v>94</v>
      </c>
      <c r="G18" s="27" t="s">
        <v>347</v>
      </c>
      <c r="H18" s="27">
        <v>10</v>
      </c>
      <c r="I18" s="46" t="s">
        <v>66</v>
      </c>
      <c r="J18" s="27" t="s">
        <v>395</v>
      </c>
      <c r="K18" s="27" t="s">
        <v>84</v>
      </c>
      <c r="L18" s="27" t="s">
        <v>406</v>
      </c>
      <c r="M18" s="27"/>
      <c r="N18" s="27" t="s">
        <v>407</v>
      </c>
    </row>
    <row r="19" spans="1:14" ht="27.6" x14ac:dyDescent="0.25">
      <c r="A19" s="38">
        <v>12</v>
      </c>
      <c r="B19" s="27" t="s">
        <v>408</v>
      </c>
      <c r="C19" s="27" t="s">
        <v>409</v>
      </c>
      <c r="D19" s="27" t="s">
        <v>410</v>
      </c>
      <c r="E19" s="27" t="s">
        <v>411</v>
      </c>
      <c r="F19" s="27" t="s">
        <v>94</v>
      </c>
      <c r="G19" s="27" t="s">
        <v>347</v>
      </c>
      <c r="H19" s="27">
        <v>12</v>
      </c>
      <c r="I19" s="46" t="s">
        <v>66</v>
      </c>
      <c r="J19" s="27" t="s">
        <v>97</v>
      </c>
      <c r="K19" s="27" t="s">
        <v>84</v>
      </c>
      <c r="L19" s="27" t="s">
        <v>412</v>
      </c>
      <c r="M19" s="27"/>
      <c r="N19" s="27" t="s">
        <v>413</v>
      </c>
    </row>
    <row r="20" spans="1:14" x14ac:dyDescent="0.25">
      <c r="A20" s="71"/>
      <c r="B20" s="67" t="s">
        <v>414</v>
      </c>
      <c r="C20" s="76"/>
      <c r="D20" s="76"/>
      <c r="E20" s="76"/>
      <c r="F20" s="76"/>
      <c r="G20" s="76"/>
      <c r="H20" s="76"/>
      <c r="I20" s="76"/>
      <c r="J20" s="76"/>
      <c r="K20" s="76"/>
      <c r="L20" s="76"/>
      <c r="M20" s="76"/>
      <c r="N20" s="77"/>
    </row>
    <row r="21" spans="1:14" ht="27.6" x14ac:dyDescent="0.25">
      <c r="A21" s="38">
        <v>13</v>
      </c>
      <c r="B21" s="27" t="s">
        <v>415</v>
      </c>
      <c r="C21" s="27" t="s">
        <v>416</v>
      </c>
      <c r="D21" s="27" t="s">
        <v>255</v>
      </c>
      <c r="E21" s="27" t="s">
        <v>417</v>
      </c>
      <c r="F21" s="27" t="s">
        <v>98</v>
      </c>
      <c r="G21" s="27" t="s">
        <v>347</v>
      </c>
      <c r="H21" s="27">
        <v>12</v>
      </c>
      <c r="I21" s="46" t="s">
        <v>147</v>
      </c>
      <c r="J21" s="27" t="s">
        <v>418</v>
      </c>
      <c r="K21" s="27" t="s">
        <v>102</v>
      </c>
      <c r="L21" s="27" t="s">
        <v>375</v>
      </c>
      <c r="M21" s="27"/>
      <c r="N21" s="27" t="s">
        <v>419</v>
      </c>
    </row>
    <row r="22" spans="1:14" ht="41.4" x14ac:dyDescent="0.25">
      <c r="A22" s="38">
        <v>14</v>
      </c>
      <c r="B22" s="27" t="s">
        <v>420</v>
      </c>
      <c r="C22" s="27" t="s">
        <v>421</v>
      </c>
      <c r="D22" s="27" t="s">
        <v>260</v>
      </c>
      <c r="E22" s="27" t="s">
        <v>422</v>
      </c>
      <c r="F22" s="27" t="s">
        <v>98</v>
      </c>
      <c r="G22" s="27" t="s">
        <v>347</v>
      </c>
      <c r="H22" s="27">
        <v>10</v>
      </c>
      <c r="I22" s="46" t="s">
        <v>147</v>
      </c>
      <c r="J22" s="27" t="s">
        <v>423</v>
      </c>
      <c r="K22" s="27" t="s">
        <v>102</v>
      </c>
      <c r="L22" s="27" t="s">
        <v>424</v>
      </c>
      <c r="M22" s="27"/>
      <c r="N22" s="27" t="s">
        <v>425</v>
      </c>
    </row>
    <row r="23" spans="1:14" ht="27.6" x14ac:dyDescent="0.25">
      <c r="A23" s="38">
        <v>15</v>
      </c>
      <c r="B23" s="27" t="s">
        <v>426</v>
      </c>
      <c r="C23" s="27" t="s">
        <v>427</v>
      </c>
      <c r="D23" s="27" t="s">
        <v>428</v>
      </c>
      <c r="E23" s="27" t="s">
        <v>429</v>
      </c>
      <c r="F23" s="27" t="s">
        <v>98</v>
      </c>
      <c r="G23" s="27" t="s">
        <v>347</v>
      </c>
      <c r="H23" s="27">
        <v>10</v>
      </c>
      <c r="I23" s="46" t="s">
        <v>128</v>
      </c>
      <c r="J23" s="27" t="s">
        <v>430</v>
      </c>
      <c r="K23" s="27" t="s">
        <v>102</v>
      </c>
      <c r="L23" s="27" t="s">
        <v>431</v>
      </c>
      <c r="M23" s="27"/>
      <c r="N23" s="27" t="s">
        <v>432</v>
      </c>
    </row>
    <row r="24" spans="1:14" ht="27.6" x14ac:dyDescent="0.25">
      <c r="A24" s="38">
        <v>16</v>
      </c>
      <c r="B24" s="27" t="s">
        <v>433</v>
      </c>
      <c r="C24" s="27" t="s">
        <v>434</v>
      </c>
      <c r="D24" s="27" t="s">
        <v>278</v>
      </c>
      <c r="E24" s="27" t="s">
        <v>435</v>
      </c>
      <c r="F24" s="27" t="s">
        <v>98</v>
      </c>
      <c r="G24" s="27" t="s">
        <v>347</v>
      </c>
      <c r="H24" s="27">
        <v>8</v>
      </c>
      <c r="I24" s="46" t="s">
        <v>128</v>
      </c>
      <c r="J24" s="27" t="s">
        <v>101</v>
      </c>
      <c r="K24" s="27" t="s">
        <v>102</v>
      </c>
      <c r="L24" s="27" t="s">
        <v>436</v>
      </c>
      <c r="M24" s="27"/>
      <c r="N24" s="27" t="s">
        <v>437</v>
      </c>
    </row>
    <row r="25" spans="1:14" ht="27.6" x14ac:dyDescent="0.25">
      <c r="A25" s="33">
        <v>17</v>
      </c>
      <c r="B25" s="27" t="s">
        <v>438</v>
      </c>
      <c r="C25" s="27" t="s">
        <v>439</v>
      </c>
      <c r="D25" s="27" t="s">
        <v>272</v>
      </c>
      <c r="E25" s="27" t="s">
        <v>440</v>
      </c>
      <c r="F25" s="27" t="s">
        <v>98</v>
      </c>
      <c r="G25" s="27" t="s">
        <v>347</v>
      </c>
      <c r="H25" s="27">
        <v>10</v>
      </c>
      <c r="I25" s="27" t="s">
        <v>66</v>
      </c>
      <c r="J25" s="27" t="s">
        <v>430</v>
      </c>
      <c r="K25" s="27" t="s">
        <v>102</v>
      </c>
      <c r="L25" s="27" t="s">
        <v>441</v>
      </c>
      <c r="M25" s="27"/>
      <c r="N25" s="27" t="s">
        <v>442</v>
      </c>
    </row>
    <row r="26" spans="1:14" ht="27.6" x14ac:dyDescent="0.25">
      <c r="A26" s="33">
        <v>18</v>
      </c>
      <c r="B26" s="27" t="s">
        <v>443</v>
      </c>
      <c r="C26" s="27" t="s">
        <v>444</v>
      </c>
      <c r="D26" s="27" t="s">
        <v>445</v>
      </c>
      <c r="E26" s="27" t="s">
        <v>446</v>
      </c>
      <c r="F26" s="27" t="s">
        <v>98</v>
      </c>
      <c r="G26" s="27" t="s">
        <v>347</v>
      </c>
      <c r="H26" s="27">
        <v>12</v>
      </c>
      <c r="I26" s="27" t="s">
        <v>66</v>
      </c>
      <c r="J26" s="27" t="s">
        <v>101</v>
      </c>
      <c r="K26" s="27" t="s">
        <v>102</v>
      </c>
      <c r="L26" s="27" t="s">
        <v>447</v>
      </c>
      <c r="M26" s="27"/>
      <c r="N26" s="27" t="s">
        <v>448</v>
      </c>
    </row>
    <row r="27" spans="1:14" x14ac:dyDescent="0.25">
      <c r="A27" s="71"/>
      <c r="B27" s="68" t="s">
        <v>449</v>
      </c>
      <c r="C27" s="69"/>
      <c r="D27" s="69"/>
      <c r="E27" s="69"/>
      <c r="F27" s="69"/>
      <c r="G27" s="69"/>
      <c r="H27" s="69"/>
      <c r="I27" s="69"/>
      <c r="J27" s="69"/>
      <c r="K27" s="69"/>
      <c r="L27" s="69"/>
      <c r="M27" s="69"/>
      <c r="N27" s="70"/>
    </row>
    <row r="28" spans="1:14" ht="27.6" x14ac:dyDescent="0.25">
      <c r="A28" s="33">
        <v>19</v>
      </c>
      <c r="B28" s="27" t="s">
        <v>450</v>
      </c>
      <c r="C28" s="27" t="s">
        <v>451</v>
      </c>
      <c r="D28" s="27" t="s">
        <v>452</v>
      </c>
      <c r="E28" s="27" t="s">
        <v>453</v>
      </c>
      <c r="F28" s="27" t="s">
        <v>103</v>
      </c>
      <c r="G28" s="27" t="s">
        <v>347</v>
      </c>
      <c r="H28" s="27">
        <v>10</v>
      </c>
      <c r="I28" s="27" t="s">
        <v>332</v>
      </c>
      <c r="J28" s="27" t="s">
        <v>454</v>
      </c>
      <c r="K28" s="27" t="s">
        <v>102</v>
      </c>
      <c r="L28" s="27" t="s">
        <v>455</v>
      </c>
      <c r="M28" s="27"/>
      <c r="N28" s="27" t="s">
        <v>456</v>
      </c>
    </row>
    <row r="29" spans="1:14" ht="27.6" x14ac:dyDescent="0.25">
      <c r="A29" s="33">
        <v>20</v>
      </c>
      <c r="B29" s="27" t="s">
        <v>457</v>
      </c>
      <c r="C29" s="27" t="s">
        <v>458</v>
      </c>
      <c r="D29" s="27" t="s">
        <v>459</v>
      </c>
      <c r="E29" s="27" t="s">
        <v>460</v>
      </c>
      <c r="F29" s="27" t="s">
        <v>103</v>
      </c>
      <c r="G29" s="27" t="s">
        <v>347</v>
      </c>
      <c r="H29" s="27">
        <v>10</v>
      </c>
      <c r="I29" s="27" t="s">
        <v>147</v>
      </c>
      <c r="J29" s="27" t="s">
        <v>461</v>
      </c>
      <c r="K29" s="27" t="s">
        <v>102</v>
      </c>
      <c r="L29" s="27" t="s">
        <v>462</v>
      </c>
      <c r="M29" s="27"/>
      <c r="N29" s="27" t="s">
        <v>463</v>
      </c>
    </row>
    <row r="30" spans="1:14" ht="27.6" x14ac:dyDescent="0.25">
      <c r="A30" s="33">
        <v>21</v>
      </c>
      <c r="B30" s="27" t="s">
        <v>464</v>
      </c>
      <c r="C30" s="27" t="s">
        <v>465</v>
      </c>
      <c r="D30" s="27" t="s">
        <v>466</v>
      </c>
      <c r="E30" s="27" t="s">
        <v>467</v>
      </c>
      <c r="F30" s="27" t="s">
        <v>103</v>
      </c>
      <c r="G30" s="27" t="s">
        <v>347</v>
      </c>
      <c r="H30" s="27">
        <v>10</v>
      </c>
      <c r="I30" s="27" t="s">
        <v>128</v>
      </c>
      <c r="J30" s="27" t="s">
        <v>468</v>
      </c>
      <c r="K30" s="27" t="s">
        <v>102</v>
      </c>
      <c r="L30" s="27" t="s">
        <v>469</v>
      </c>
      <c r="M30" s="27"/>
      <c r="N30" s="27" t="s">
        <v>470</v>
      </c>
    </row>
    <row r="31" spans="1:14" ht="27.6" x14ac:dyDescent="0.25">
      <c r="A31" s="33">
        <v>22</v>
      </c>
      <c r="B31" s="27" t="s">
        <v>471</v>
      </c>
      <c r="C31" s="27" t="s">
        <v>472</v>
      </c>
      <c r="D31" s="27" t="s">
        <v>473</v>
      </c>
      <c r="E31" s="27" t="s">
        <v>474</v>
      </c>
      <c r="F31" s="27" t="s">
        <v>103</v>
      </c>
      <c r="G31" s="27" t="s">
        <v>475</v>
      </c>
      <c r="H31" s="27">
        <v>8</v>
      </c>
      <c r="I31" s="27" t="s">
        <v>66</v>
      </c>
      <c r="J31" s="27" t="s">
        <v>468</v>
      </c>
      <c r="K31" s="27" t="s">
        <v>102</v>
      </c>
      <c r="L31" s="27" t="s">
        <v>476</v>
      </c>
      <c r="M31" s="27"/>
      <c r="N31" s="27" t="s">
        <v>477</v>
      </c>
    </row>
    <row r="32" spans="1:14" ht="27.6" x14ac:dyDescent="0.25">
      <c r="A32" s="33">
        <v>23</v>
      </c>
      <c r="B32" s="27" t="s">
        <v>478</v>
      </c>
      <c r="C32" s="27" t="s">
        <v>479</v>
      </c>
      <c r="D32" s="27" t="s">
        <v>480</v>
      </c>
      <c r="E32" s="27" t="s">
        <v>481</v>
      </c>
      <c r="F32" s="27" t="s">
        <v>103</v>
      </c>
      <c r="G32" s="27" t="s">
        <v>347</v>
      </c>
      <c r="H32" s="27">
        <v>10</v>
      </c>
      <c r="I32" s="27" t="s">
        <v>128</v>
      </c>
      <c r="J32" s="27" t="s">
        <v>106</v>
      </c>
      <c r="K32" s="27" t="s">
        <v>102</v>
      </c>
      <c r="L32" s="27" t="s">
        <v>482</v>
      </c>
      <c r="M32" s="27"/>
      <c r="N32" s="27" t="s">
        <v>483</v>
      </c>
    </row>
    <row r="33" spans="1:14" x14ac:dyDescent="0.25">
      <c r="A33" s="35"/>
      <c r="B33" s="84" t="s">
        <v>484</v>
      </c>
      <c r="C33" s="84"/>
      <c r="D33" s="84"/>
      <c r="E33" s="84"/>
      <c r="F33" s="84"/>
      <c r="G33" s="84"/>
      <c r="H33" s="84"/>
      <c r="I33" s="84"/>
      <c r="J33" s="84"/>
      <c r="K33" s="84"/>
      <c r="L33" s="84"/>
      <c r="M33" s="84"/>
      <c r="N33" s="84"/>
    </row>
    <row r="34" spans="1:14" s="63" customFormat="1" ht="27.6" x14ac:dyDescent="0.25">
      <c r="A34" s="85">
        <v>24</v>
      </c>
      <c r="B34" s="86" t="s">
        <v>485</v>
      </c>
      <c r="C34" s="86" t="s">
        <v>486</v>
      </c>
      <c r="D34" s="86" t="s">
        <v>466</v>
      </c>
      <c r="E34" s="86" t="s">
        <v>487</v>
      </c>
      <c r="F34" s="86" t="s">
        <v>107</v>
      </c>
      <c r="G34" s="86" t="s">
        <v>347</v>
      </c>
      <c r="H34" s="86">
        <v>12</v>
      </c>
      <c r="I34" s="86" t="s">
        <v>332</v>
      </c>
      <c r="J34" s="86" t="s">
        <v>109</v>
      </c>
      <c r="K34" s="86" t="s">
        <v>102</v>
      </c>
      <c r="L34" s="86" t="s">
        <v>488</v>
      </c>
      <c r="M34" s="86"/>
      <c r="N34" s="86" t="s">
        <v>489</v>
      </c>
    </row>
    <row r="35" spans="1:14" ht="41.4" x14ac:dyDescent="0.25">
      <c r="A35" s="38">
        <v>25</v>
      </c>
      <c r="B35" s="25" t="s">
        <v>490</v>
      </c>
      <c r="C35" s="25" t="s">
        <v>491</v>
      </c>
      <c r="D35" s="25" t="s">
        <v>466</v>
      </c>
      <c r="E35" s="25" t="s">
        <v>492</v>
      </c>
      <c r="F35" s="25" t="s">
        <v>107</v>
      </c>
      <c r="G35" s="25" t="s">
        <v>347</v>
      </c>
      <c r="H35" s="25">
        <v>8</v>
      </c>
      <c r="I35" s="25" t="s">
        <v>66</v>
      </c>
      <c r="J35" s="25" t="s">
        <v>493</v>
      </c>
      <c r="K35" s="25" t="s">
        <v>102</v>
      </c>
      <c r="L35" s="25" t="s">
        <v>494</v>
      </c>
      <c r="M35" s="25"/>
      <c r="N35" s="25" t="s">
        <v>495</v>
      </c>
    </row>
    <row r="36" spans="1:14" ht="27.6" x14ac:dyDescent="0.25">
      <c r="A36" s="38">
        <v>26</v>
      </c>
      <c r="B36" s="25" t="s">
        <v>496</v>
      </c>
      <c r="C36" s="25" t="s">
        <v>497</v>
      </c>
      <c r="D36" s="25" t="s">
        <v>480</v>
      </c>
      <c r="E36" s="25" t="s">
        <v>498</v>
      </c>
      <c r="F36" s="25" t="s">
        <v>107</v>
      </c>
      <c r="G36" s="25" t="s">
        <v>347</v>
      </c>
      <c r="H36" s="25">
        <v>8</v>
      </c>
      <c r="I36" s="25" t="s">
        <v>128</v>
      </c>
      <c r="J36" s="25" t="s">
        <v>493</v>
      </c>
      <c r="K36" s="25" t="s">
        <v>102</v>
      </c>
      <c r="L36" s="25" t="s">
        <v>499</v>
      </c>
      <c r="M36" s="25"/>
      <c r="N36" s="25" t="s">
        <v>500</v>
      </c>
    </row>
    <row r="37" spans="1:14" ht="27.6" x14ac:dyDescent="0.25">
      <c r="A37" s="38">
        <v>27</v>
      </c>
      <c r="B37" s="25" t="s">
        <v>501</v>
      </c>
      <c r="C37" s="25" t="s">
        <v>502</v>
      </c>
      <c r="D37" s="25" t="s">
        <v>473</v>
      </c>
      <c r="E37" s="25" t="s">
        <v>503</v>
      </c>
      <c r="F37" s="25" t="s">
        <v>107</v>
      </c>
      <c r="G37" s="25" t="s">
        <v>347</v>
      </c>
      <c r="H37" s="25">
        <v>8</v>
      </c>
      <c r="I37" s="25" t="s">
        <v>332</v>
      </c>
      <c r="J37" s="25" t="s">
        <v>64</v>
      </c>
      <c r="K37" s="25" t="s">
        <v>102</v>
      </c>
      <c r="L37" s="25" t="s">
        <v>504</v>
      </c>
      <c r="M37" s="25"/>
      <c r="N37" s="25" t="s">
        <v>505</v>
      </c>
    </row>
    <row r="38" spans="1:14" x14ac:dyDescent="0.25">
      <c r="A38" s="38"/>
      <c r="B38" s="25"/>
      <c r="C38" s="25"/>
      <c r="D38" s="25"/>
      <c r="E38" s="25"/>
      <c r="F38" s="25"/>
      <c r="G38" s="25"/>
      <c r="H38" s="25"/>
      <c r="I38" s="25"/>
      <c r="J38" s="25"/>
      <c r="K38" s="25"/>
      <c r="L38" s="25"/>
      <c r="M38" s="25"/>
      <c r="N38" s="25"/>
    </row>
    <row r="39" spans="1:14" x14ac:dyDescent="0.25">
      <c r="A39" s="38"/>
      <c r="B39" s="25"/>
      <c r="C39" s="25"/>
      <c r="D39" s="25"/>
      <c r="E39" s="25"/>
      <c r="F39" s="25"/>
      <c r="G39" s="25"/>
      <c r="H39" s="25"/>
      <c r="I39" s="25"/>
      <c r="J39" s="25"/>
      <c r="K39" s="25"/>
      <c r="L39" s="25"/>
      <c r="M39" s="25"/>
      <c r="N39" s="25"/>
    </row>
    <row r="40" spans="1:14" x14ac:dyDescent="0.25">
      <c r="A40" s="38"/>
      <c r="B40" s="25"/>
      <c r="C40" s="25"/>
      <c r="D40" s="25"/>
      <c r="E40" s="25"/>
      <c r="F40" s="25"/>
      <c r="G40" s="25"/>
      <c r="H40" s="25"/>
      <c r="I40" s="25"/>
      <c r="J40" s="25"/>
      <c r="K40" s="25"/>
      <c r="L40" s="25"/>
      <c r="M40" s="25"/>
      <c r="N40" s="25"/>
    </row>
    <row r="41" spans="1:14" x14ac:dyDescent="0.25">
      <c r="A41" s="38"/>
      <c r="B41" s="25"/>
      <c r="C41" s="25"/>
      <c r="D41" s="25"/>
      <c r="E41" s="25"/>
      <c r="F41" s="25"/>
      <c r="G41" s="25"/>
      <c r="H41" s="25"/>
      <c r="I41" s="25"/>
      <c r="J41" s="25"/>
      <c r="K41" s="25"/>
      <c r="L41" s="25"/>
      <c r="M41" s="25"/>
      <c r="N41" s="25"/>
    </row>
  </sheetData>
  <mergeCells count="8">
    <mergeCell ref="B33:N33"/>
    <mergeCell ref="B20:N20"/>
    <mergeCell ref="B9:N9"/>
    <mergeCell ref="B13:N13"/>
    <mergeCell ref="B27:N27"/>
    <mergeCell ref="A1:N1"/>
    <mergeCell ref="A2:N2"/>
    <mergeCell ref="B5:N5"/>
  </mergeCells>
  <conditionalFormatting sqref="G6:G8 G10:G12 G14:G26 G28:G32 G34:G1000">
    <cfRule type="cellIs" dxfId="15" priority="5" operator="equal">
      <formula>"P0"</formula>
    </cfRule>
    <cfRule type="cellIs" dxfId="14" priority="6" operator="equal">
      <formula>"P1"</formula>
    </cfRule>
  </conditionalFormatting>
  <conditionalFormatting sqref="K6:K8 K10:K12 K14:K26 K28:K32 K34:K1000">
    <cfRule type="cellIs" dxfId="13" priority="1" operator="equal">
      <formula>"Hoàn thành"</formula>
    </cfRule>
    <cfRule type="cellIs" dxfId="12" priority="2" operator="equal">
      <formula>"Đang làm"</formula>
    </cfRule>
    <cfRule type="cellIs" dxfId="11" priority="3" operator="equal">
      <formula>"Bị kẹt"</formula>
    </cfRule>
    <cfRule type="cellIs" dxfId="10" priority="4" operator="equal">
      <formula>"Chưa bắt đầu"</formula>
    </cfRule>
  </conditionalFormatting>
  <dataValidations count="3">
    <dataValidation type="list" allowBlank="1" sqref="K14:K15 K10 K17:K19 K6:K8 K12 K21:K26 K28:K32" xr:uid="{00000000-0002-0000-0500-000000000000}">
      <formula1>"Chưa làm,Đang làm,Đang review,Kiểm thử,Hoàn thành,Bị kẹt,Không làm"</formula1>
    </dataValidation>
    <dataValidation type="list" allowBlank="1" sqref="F14:F15 F10 F17:F19 F6:F8 F12 F21:F26 F28:F32" xr:uid="{00000000-0002-0000-0500-000001000000}">
      <formula1>"Sprint 1,Sprint 2,Sprint 3,Sprint 4"</formula1>
    </dataValidation>
    <dataValidation type="list" allowBlank="1" sqref="G14:G15 G10 G17:G19 G6:G8 G12 G21:G26 G28:G32" xr:uid="{00000000-0002-0000-0500-000002000000}">
      <formula1>"P0,P1,P2,P3"</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A1:F66"/>
  <sheetViews>
    <sheetView workbookViewId="0">
      <selection activeCell="A48" sqref="A48:XFD48"/>
    </sheetView>
  </sheetViews>
  <sheetFormatPr defaultColWidth="14.44140625" defaultRowHeight="13.8" x14ac:dyDescent="0.25"/>
  <cols>
    <col min="1" max="1" width="60.109375" style="92" bestFit="1" customWidth="1"/>
    <col min="2" max="2" width="90" style="92" customWidth="1"/>
    <col min="3" max="6" width="15" style="92" customWidth="1"/>
    <col min="7" max="26" width="8.6640625" style="92" customWidth="1"/>
    <col min="27" max="16384" width="14.44140625" style="92"/>
  </cols>
  <sheetData>
    <row r="1" spans="1:6" ht="21" x14ac:dyDescent="0.4">
      <c r="A1" s="90" t="s">
        <v>506</v>
      </c>
      <c r="B1" s="90"/>
      <c r="C1" s="91"/>
      <c r="D1" s="91"/>
      <c r="E1" s="91"/>
      <c r="F1" s="91"/>
    </row>
    <row r="2" spans="1:6" ht="14.4" x14ac:dyDescent="0.3">
      <c r="A2" s="93" t="s">
        <v>699</v>
      </c>
      <c r="B2" s="93"/>
      <c r="C2" s="91"/>
      <c r="D2" s="91"/>
      <c r="E2" s="91"/>
      <c r="F2" s="91"/>
    </row>
    <row r="4" spans="1:6" x14ac:dyDescent="0.25">
      <c r="A4" s="94" t="s">
        <v>507</v>
      </c>
      <c r="B4" s="95"/>
      <c r="C4" s="96"/>
      <c r="D4" s="96"/>
      <c r="E4" s="96"/>
      <c r="F4" s="97"/>
    </row>
    <row r="5" spans="1:6" x14ac:dyDescent="0.25">
      <c r="A5" s="98" t="s">
        <v>508</v>
      </c>
      <c r="B5" s="99" t="s">
        <v>509</v>
      </c>
      <c r="C5" s="96"/>
      <c r="D5" s="96"/>
      <c r="E5" s="96"/>
      <c r="F5" s="97"/>
    </row>
    <row r="6" spans="1:6" x14ac:dyDescent="0.25">
      <c r="A6" s="98" t="s">
        <v>510</v>
      </c>
      <c r="B6" s="99" t="s">
        <v>511</v>
      </c>
      <c r="C6" s="96"/>
      <c r="D6" s="96"/>
      <c r="E6" s="96"/>
      <c r="F6" s="97"/>
    </row>
    <row r="7" spans="1:6" x14ac:dyDescent="0.25">
      <c r="A7" s="98" t="s">
        <v>512</v>
      </c>
      <c r="B7" s="99" t="s">
        <v>147</v>
      </c>
      <c r="C7" s="96"/>
      <c r="D7" s="96"/>
      <c r="E7" s="96"/>
      <c r="F7" s="97"/>
    </row>
    <row r="8" spans="1:6" x14ac:dyDescent="0.25">
      <c r="A8" s="98" t="s">
        <v>513</v>
      </c>
      <c r="B8" s="100">
        <v>46362</v>
      </c>
      <c r="C8" s="96"/>
      <c r="D8" s="96"/>
      <c r="E8" s="96"/>
      <c r="F8" s="97"/>
    </row>
    <row r="9" spans="1:6" x14ac:dyDescent="0.25">
      <c r="A9" s="98" t="s">
        <v>514</v>
      </c>
      <c r="B9" s="100">
        <v>46362</v>
      </c>
      <c r="C9" s="96"/>
      <c r="D9" s="96"/>
      <c r="E9" s="96"/>
      <c r="F9" s="97"/>
    </row>
    <row r="10" spans="1:6" x14ac:dyDescent="0.25">
      <c r="A10" s="98" t="s">
        <v>85</v>
      </c>
      <c r="B10" s="101" t="s">
        <v>84</v>
      </c>
      <c r="C10" s="96"/>
      <c r="D10" s="96"/>
      <c r="E10" s="96"/>
      <c r="F10" s="97"/>
    </row>
    <row r="11" spans="1:6" x14ac:dyDescent="0.25">
      <c r="A11" s="41"/>
      <c r="B11" s="41"/>
    </row>
    <row r="12" spans="1:6" x14ac:dyDescent="0.25">
      <c r="A12" s="102" t="s">
        <v>515</v>
      </c>
      <c r="B12" s="95"/>
      <c r="C12" s="96"/>
      <c r="D12" s="96"/>
      <c r="E12" s="96"/>
      <c r="F12" s="97"/>
    </row>
    <row r="13" spans="1:6" x14ac:dyDescent="0.25">
      <c r="A13" s="145" t="s">
        <v>516</v>
      </c>
      <c r="B13" s="99" t="s">
        <v>517</v>
      </c>
      <c r="C13" s="96"/>
      <c r="D13" s="96"/>
      <c r="E13" s="96"/>
      <c r="F13" s="97"/>
    </row>
    <row r="14" spans="1:6" x14ac:dyDescent="0.25">
      <c r="A14" s="145" t="s">
        <v>518</v>
      </c>
      <c r="B14" s="99" t="s">
        <v>519</v>
      </c>
      <c r="C14" s="96"/>
      <c r="D14" s="96"/>
      <c r="E14" s="96"/>
      <c r="F14" s="97"/>
    </row>
    <row r="15" spans="1:6" x14ac:dyDescent="0.25">
      <c r="A15" s="145" t="s">
        <v>520</v>
      </c>
      <c r="B15" s="99" t="s">
        <v>521</v>
      </c>
      <c r="C15" s="96"/>
      <c r="D15" s="96"/>
      <c r="E15" s="96"/>
      <c r="F15" s="97"/>
    </row>
    <row r="16" spans="1:6" x14ac:dyDescent="0.25">
      <c r="A16" s="145" t="s">
        <v>522</v>
      </c>
      <c r="B16" s="99" t="s">
        <v>523</v>
      </c>
      <c r="C16" s="96"/>
      <c r="D16" s="96"/>
      <c r="E16" s="96"/>
      <c r="F16" s="97"/>
    </row>
    <row r="17" spans="1:6" x14ac:dyDescent="0.25">
      <c r="A17" s="102" t="s">
        <v>524</v>
      </c>
      <c r="B17" s="95"/>
      <c r="C17" s="96"/>
      <c r="D17" s="96"/>
      <c r="E17" s="96"/>
      <c r="F17" s="97"/>
    </row>
    <row r="18" spans="1:6" ht="13.8" customHeight="1" x14ac:dyDescent="0.25">
      <c r="A18" s="103" t="s">
        <v>525</v>
      </c>
      <c r="B18" s="99" t="s">
        <v>526</v>
      </c>
      <c r="C18" s="151"/>
      <c r="D18" s="151"/>
      <c r="E18" s="151"/>
      <c r="F18" s="152"/>
    </row>
    <row r="19" spans="1:6" ht="13.8" customHeight="1" x14ac:dyDescent="0.25">
      <c r="A19" s="103" t="s">
        <v>527</v>
      </c>
      <c r="B19" s="99" t="s">
        <v>528</v>
      </c>
      <c r="C19" s="151"/>
      <c r="D19" s="151"/>
      <c r="E19" s="151"/>
      <c r="F19" s="152"/>
    </row>
    <row r="20" spans="1:6" ht="13.8" customHeight="1" x14ac:dyDescent="0.25">
      <c r="A20" s="103" t="s">
        <v>529</v>
      </c>
      <c r="B20" s="99" t="s">
        <v>530</v>
      </c>
      <c r="C20" s="151"/>
      <c r="D20" s="151"/>
      <c r="E20" s="151"/>
      <c r="F20" s="152"/>
    </row>
    <row r="21" spans="1:6" ht="13.8" customHeight="1" x14ac:dyDescent="0.25">
      <c r="A21" s="103" t="s">
        <v>531</v>
      </c>
      <c r="B21" s="99" t="s">
        <v>532</v>
      </c>
      <c r="C21" s="151"/>
      <c r="D21" s="151"/>
      <c r="E21" s="151"/>
      <c r="F21" s="152"/>
    </row>
    <row r="22" spans="1:6" ht="13.8" customHeight="1" x14ac:dyDescent="0.25">
      <c r="A22" s="103" t="s">
        <v>533</v>
      </c>
      <c r="B22" s="99" t="s">
        <v>534</v>
      </c>
      <c r="C22" s="151"/>
      <c r="D22" s="151"/>
      <c r="E22" s="151"/>
      <c r="F22" s="152"/>
    </row>
    <row r="23" spans="1:6" ht="13.8" customHeight="1" x14ac:dyDescent="0.25">
      <c r="A23" s="103" t="s">
        <v>535</v>
      </c>
      <c r="B23" s="99" t="s">
        <v>536</v>
      </c>
      <c r="C23" s="151"/>
      <c r="D23" s="151"/>
      <c r="E23" s="151"/>
      <c r="F23" s="152"/>
    </row>
    <row r="24" spans="1:6" x14ac:dyDescent="0.25">
      <c r="A24" s="102" t="s">
        <v>537</v>
      </c>
      <c r="B24" s="95"/>
      <c r="C24" s="96"/>
      <c r="D24" s="96"/>
      <c r="E24" s="96"/>
      <c r="F24" s="97"/>
    </row>
    <row r="25" spans="1:6" x14ac:dyDescent="0.25">
      <c r="A25" s="145" t="s">
        <v>538</v>
      </c>
      <c r="B25" s="146" t="s">
        <v>539</v>
      </c>
      <c r="C25" s="140"/>
      <c r="D25" s="140"/>
      <c r="E25" s="140"/>
      <c r="F25" s="141"/>
    </row>
    <row r="26" spans="1:6" s="105" customFormat="1" x14ac:dyDescent="0.25">
      <c r="A26" s="145" t="s">
        <v>540</v>
      </c>
      <c r="B26" s="99" t="s">
        <v>541</v>
      </c>
      <c r="C26" s="96"/>
      <c r="D26" s="96"/>
      <c r="E26" s="96"/>
      <c r="F26" s="97"/>
    </row>
    <row r="27" spans="1:6" s="105" customFormat="1" x14ac:dyDescent="0.25">
      <c r="A27" s="145" t="s">
        <v>542</v>
      </c>
      <c r="B27" s="99" t="s">
        <v>543</v>
      </c>
      <c r="C27" s="96"/>
      <c r="D27" s="96"/>
      <c r="E27" s="96"/>
      <c r="F27" s="97"/>
    </row>
    <row r="28" spans="1:6" s="105" customFormat="1" x14ac:dyDescent="0.25">
      <c r="A28" s="145" t="s">
        <v>544</v>
      </c>
      <c r="B28" s="99" t="s">
        <v>545</v>
      </c>
      <c r="C28" s="96"/>
      <c r="D28" s="96"/>
      <c r="E28" s="96"/>
      <c r="F28" s="97"/>
    </row>
    <row r="29" spans="1:6" s="105" customFormat="1" x14ac:dyDescent="0.25">
      <c r="A29" s="145" t="s">
        <v>546</v>
      </c>
      <c r="B29" s="99" t="s">
        <v>547</v>
      </c>
      <c r="C29" s="96"/>
      <c r="D29" s="96"/>
      <c r="E29" s="96"/>
      <c r="F29" s="97"/>
    </row>
    <row r="30" spans="1:6" s="105" customFormat="1" x14ac:dyDescent="0.25">
      <c r="A30" s="145" t="s">
        <v>548</v>
      </c>
      <c r="B30" s="99" t="s">
        <v>549</v>
      </c>
      <c r="C30" s="96"/>
      <c r="D30" s="96"/>
      <c r="E30" s="96"/>
      <c r="F30" s="97"/>
    </row>
    <row r="31" spans="1:6" s="105" customFormat="1" x14ac:dyDescent="0.25">
      <c r="A31" s="145" t="s">
        <v>550</v>
      </c>
      <c r="B31" s="99" t="s">
        <v>551</v>
      </c>
      <c r="C31" s="96"/>
      <c r="D31" s="96"/>
      <c r="E31" s="96"/>
      <c r="F31" s="97"/>
    </row>
    <row r="32" spans="1:6" x14ac:dyDescent="0.25">
      <c r="A32" s="142" t="s">
        <v>552</v>
      </c>
      <c r="B32" s="143"/>
      <c r="C32" s="143"/>
      <c r="D32" s="143"/>
      <c r="E32" s="143"/>
      <c r="F32" s="144"/>
    </row>
    <row r="34" spans="1:6" x14ac:dyDescent="0.25">
      <c r="A34" s="41"/>
      <c r="B34" s="41"/>
    </row>
    <row r="35" spans="1:6" x14ac:dyDescent="0.25">
      <c r="A35" s="94" t="s">
        <v>553</v>
      </c>
      <c r="B35" s="95"/>
      <c r="C35" s="96"/>
      <c r="D35" s="96"/>
      <c r="E35" s="96"/>
      <c r="F35" s="97"/>
    </row>
    <row r="36" spans="1:6" x14ac:dyDescent="0.25">
      <c r="A36" s="147" t="s">
        <v>508</v>
      </c>
      <c r="B36" s="101" t="s">
        <v>554</v>
      </c>
      <c r="C36" s="104"/>
      <c r="D36" s="104"/>
      <c r="E36" s="104"/>
      <c r="F36" s="104"/>
    </row>
    <row r="37" spans="1:6" ht="13.8" customHeight="1" x14ac:dyDescent="0.25">
      <c r="A37" s="148" t="s">
        <v>510</v>
      </c>
      <c r="B37" s="101" t="s">
        <v>555</v>
      </c>
      <c r="C37" s="104"/>
      <c r="D37" s="104"/>
      <c r="E37" s="104"/>
      <c r="F37" s="153"/>
    </row>
    <row r="38" spans="1:6" ht="13.8" customHeight="1" x14ac:dyDescent="0.25">
      <c r="A38" s="148" t="s">
        <v>512</v>
      </c>
      <c r="B38" s="149" t="s">
        <v>66</v>
      </c>
      <c r="C38" s="140"/>
      <c r="D38" s="140"/>
      <c r="E38" s="140"/>
      <c r="F38" s="141"/>
    </row>
    <row r="39" spans="1:6" ht="13.8" customHeight="1" x14ac:dyDescent="0.25">
      <c r="A39" s="148" t="s">
        <v>513</v>
      </c>
      <c r="B39" s="99" t="s">
        <v>96</v>
      </c>
      <c r="C39" s="151"/>
      <c r="D39" s="151"/>
      <c r="E39" s="151"/>
      <c r="F39" s="152"/>
    </row>
    <row r="40" spans="1:6" ht="13.8" customHeight="1" x14ac:dyDescent="0.25">
      <c r="A40" s="148" t="s">
        <v>514</v>
      </c>
      <c r="B40" s="99" t="s">
        <v>96</v>
      </c>
      <c r="C40" s="151"/>
      <c r="D40" s="151"/>
      <c r="E40" s="151"/>
      <c r="F40" s="152"/>
    </row>
    <row r="41" spans="1:6" ht="13.8" customHeight="1" x14ac:dyDescent="0.25">
      <c r="A41" s="148" t="s">
        <v>85</v>
      </c>
      <c r="B41" s="99" t="s">
        <v>84</v>
      </c>
      <c r="C41" s="151"/>
      <c r="D41" s="151"/>
      <c r="E41" s="151"/>
      <c r="F41" s="152"/>
    </row>
    <row r="42" spans="1:6" ht="14.4" x14ac:dyDescent="0.25">
      <c r="A42" s="150"/>
      <c r="B42" s="106"/>
      <c r="C42" s="96"/>
      <c r="D42" s="96"/>
      <c r="E42" s="96"/>
      <c r="F42" s="97"/>
    </row>
    <row r="43" spans="1:6" x14ac:dyDescent="0.25">
      <c r="A43" s="102" t="s">
        <v>515</v>
      </c>
      <c r="B43" s="95"/>
      <c r="C43" s="96"/>
      <c r="D43" s="96"/>
      <c r="E43" s="96"/>
      <c r="F43" s="97"/>
    </row>
    <row r="44" spans="1:6" x14ac:dyDescent="0.25">
      <c r="A44" s="145" t="s">
        <v>516</v>
      </c>
      <c r="B44" s="101" t="s">
        <v>556</v>
      </c>
      <c r="C44" s="104"/>
      <c r="D44" s="104"/>
      <c r="E44" s="104"/>
      <c r="F44" s="104"/>
    </row>
    <row r="45" spans="1:6" ht="13.8" customHeight="1" x14ac:dyDescent="0.25">
      <c r="A45" s="145" t="s">
        <v>518</v>
      </c>
      <c r="B45" s="101" t="s">
        <v>557</v>
      </c>
      <c r="C45" s="104"/>
      <c r="D45" s="104"/>
      <c r="E45" s="104"/>
      <c r="F45" s="153"/>
    </row>
    <row r="46" spans="1:6" ht="13.8" customHeight="1" x14ac:dyDescent="0.25">
      <c r="A46" s="145" t="s">
        <v>520</v>
      </c>
      <c r="B46" s="99" t="s">
        <v>558</v>
      </c>
      <c r="C46" s="151"/>
      <c r="D46" s="151"/>
      <c r="E46" s="151"/>
      <c r="F46" s="152"/>
    </row>
    <row r="47" spans="1:6" ht="13.8" customHeight="1" x14ac:dyDescent="0.25">
      <c r="A47" s="145" t="s">
        <v>522</v>
      </c>
      <c r="B47" s="99" t="s">
        <v>559</v>
      </c>
      <c r="C47" s="151"/>
      <c r="D47" s="151"/>
      <c r="E47" s="151"/>
      <c r="F47" s="152"/>
    </row>
    <row r="48" spans="1:6" x14ac:dyDescent="0.25">
      <c r="A48" s="102" t="s">
        <v>524</v>
      </c>
      <c r="B48" s="95"/>
      <c r="C48" s="96"/>
      <c r="D48" s="96"/>
      <c r="E48" s="96"/>
      <c r="F48" s="97"/>
    </row>
    <row r="49" spans="1:6" ht="13.8" customHeight="1" x14ac:dyDescent="0.25">
      <c r="A49" s="103" t="s">
        <v>525</v>
      </c>
      <c r="B49" s="99" t="s">
        <v>560</v>
      </c>
      <c r="C49" s="151"/>
      <c r="D49" s="151"/>
      <c r="E49" s="151"/>
      <c r="F49" s="152"/>
    </row>
    <row r="50" spans="1:6" ht="13.8" customHeight="1" x14ac:dyDescent="0.25">
      <c r="A50" s="103" t="s">
        <v>561</v>
      </c>
      <c r="B50" s="101" t="s">
        <v>562</v>
      </c>
      <c r="C50" s="104"/>
      <c r="D50" s="104"/>
      <c r="E50" s="104"/>
      <c r="F50" s="153"/>
    </row>
    <row r="51" spans="1:6" ht="13.8" customHeight="1" x14ac:dyDescent="0.25">
      <c r="A51" s="103" t="s">
        <v>527</v>
      </c>
      <c r="B51" s="99" t="s">
        <v>563</v>
      </c>
      <c r="C51" s="151"/>
      <c r="D51" s="151"/>
      <c r="E51" s="151"/>
      <c r="F51" s="152"/>
    </row>
    <row r="52" spans="1:6" ht="13.8" customHeight="1" x14ac:dyDescent="0.25">
      <c r="A52" s="103" t="s">
        <v>529</v>
      </c>
      <c r="B52" s="99" t="s">
        <v>564</v>
      </c>
      <c r="C52" s="151"/>
      <c r="D52" s="151"/>
      <c r="E52" s="151"/>
      <c r="F52" s="152"/>
    </row>
    <row r="53" spans="1:6" ht="13.8" customHeight="1" x14ac:dyDescent="0.25">
      <c r="A53" s="103" t="s">
        <v>531</v>
      </c>
      <c r="B53" s="99" t="s">
        <v>565</v>
      </c>
      <c r="C53" s="151"/>
      <c r="D53" s="151"/>
      <c r="E53" s="151"/>
      <c r="F53" s="152"/>
    </row>
    <row r="54" spans="1:6" ht="13.8" customHeight="1" x14ac:dyDescent="0.25">
      <c r="A54" s="103" t="s">
        <v>533</v>
      </c>
      <c r="B54" s="99" t="s">
        <v>566</v>
      </c>
      <c r="C54" s="151"/>
      <c r="D54" s="151"/>
      <c r="E54" s="151"/>
      <c r="F54" s="152"/>
    </row>
    <row r="55" spans="1:6" ht="13.8" customHeight="1" x14ac:dyDescent="0.25">
      <c r="A55" s="103" t="s">
        <v>533</v>
      </c>
      <c r="B55" s="154" t="s">
        <v>567</v>
      </c>
      <c r="C55" s="155"/>
      <c r="D55" s="155"/>
      <c r="E55" s="155"/>
      <c r="F55" s="156"/>
    </row>
    <row r="56" spans="1:6" x14ac:dyDescent="0.25">
      <c r="A56" s="102" t="s">
        <v>537</v>
      </c>
      <c r="B56" s="95"/>
      <c r="C56" s="96"/>
      <c r="D56" s="96"/>
      <c r="E56" s="96"/>
      <c r="F56" s="97"/>
    </row>
    <row r="57" spans="1:6" x14ac:dyDescent="0.25">
      <c r="A57" s="145" t="s">
        <v>538</v>
      </c>
      <c r="B57" s="99" t="s">
        <v>568</v>
      </c>
      <c r="C57" s="96"/>
      <c r="D57" s="96"/>
      <c r="E57" s="96"/>
      <c r="F57" s="97"/>
    </row>
    <row r="58" spans="1:6" ht="13.8" customHeight="1" x14ac:dyDescent="0.25">
      <c r="A58" s="145" t="s">
        <v>540</v>
      </c>
      <c r="B58" s="146" t="s">
        <v>569</v>
      </c>
      <c r="C58" s="140"/>
      <c r="D58" s="140"/>
      <c r="E58" s="140"/>
      <c r="F58" s="141"/>
    </row>
    <row r="59" spans="1:6" x14ac:dyDescent="0.25">
      <c r="A59" s="145" t="s">
        <v>542</v>
      </c>
      <c r="B59" s="99" t="s">
        <v>570</v>
      </c>
      <c r="C59" s="96"/>
      <c r="D59" s="96"/>
      <c r="E59" s="96"/>
      <c r="F59" s="97"/>
    </row>
    <row r="60" spans="1:6" x14ac:dyDescent="0.25">
      <c r="A60" s="145" t="s">
        <v>544</v>
      </c>
      <c r="B60" s="99" t="s">
        <v>545</v>
      </c>
      <c r="C60" s="96"/>
      <c r="D60" s="96"/>
      <c r="E60" s="96"/>
      <c r="F60" s="97"/>
    </row>
    <row r="61" spans="1:6" x14ac:dyDescent="0.25">
      <c r="A61" s="145" t="s">
        <v>546</v>
      </c>
      <c r="B61" s="99" t="s">
        <v>571</v>
      </c>
      <c r="C61" s="96"/>
      <c r="D61" s="96"/>
      <c r="E61" s="96"/>
      <c r="F61" s="97"/>
    </row>
    <row r="62" spans="1:6" x14ac:dyDescent="0.25">
      <c r="A62" s="145" t="s">
        <v>548</v>
      </c>
      <c r="B62" s="99" t="s">
        <v>572</v>
      </c>
      <c r="C62" s="96"/>
      <c r="D62" s="96"/>
      <c r="E62" s="96"/>
      <c r="F62" s="97"/>
    </row>
    <row r="63" spans="1:6" x14ac:dyDescent="0.25">
      <c r="A63" s="145" t="s">
        <v>550</v>
      </c>
      <c r="B63" s="99" t="s">
        <v>573</v>
      </c>
      <c r="C63" s="96"/>
      <c r="D63" s="96"/>
      <c r="E63" s="96"/>
      <c r="F63" s="97"/>
    </row>
    <row r="64" spans="1:6" ht="14.4" x14ac:dyDescent="0.25">
      <c r="A64" s="103"/>
      <c r="B64" s="106"/>
      <c r="C64" s="96"/>
      <c r="D64" s="96"/>
      <c r="E64" s="96"/>
      <c r="F64" s="97"/>
    </row>
    <row r="65" spans="1:6" ht="14.4" x14ac:dyDescent="0.25">
      <c r="A65" s="103"/>
      <c r="B65" s="106"/>
      <c r="C65" s="96"/>
      <c r="D65" s="96"/>
      <c r="E65" s="96"/>
      <c r="F65" s="97"/>
    </row>
    <row r="66" spans="1:6" ht="14.4" x14ac:dyDescent="0.25">
      <c r="A66" s="103"/>
      <c r="B66" s="106"/>
      <c r="C66" s="96"/>
      <c r="D66" s="96"/>
      <c r="E66" s="96"/>
      <c r="F66" s="97"/>
    </row>
  </sheetData>
  <mergeCells count="59">
    <mergeCell ref="B63:F63"/>
    <mergeCell ref="B64:F64"/>
    <mergeCell ref="B65:F65"/>
    <mergeCell ref="B66:F66"/>
    <mergeCell ref="A32:F32"/>
    <mergeCell ref="A35:F35"/>
    <mergeCell ref="B44:F44"/>
    <mergeCell ref="B45:F45"/>
    <mergeCell ref="B50:F50"/>
    <mergeCell ref="B36:F36"/>
    <mergeCell ref="B37:F37"/>
    <mergeCell ref="A56:F56"/>
    <mergeCell ref="A43:F43"/>
    <mergeCell ref="A48:F48"/>
    <mergeCell ref="B46:F46"/>
    <mergeCell ref="B47:F47"/>
    <mergeCell ref="B39:F39"/>
    <mergeCell ref="B40:F40"/>
    <mergeCell ref="B41:F41"/>
    <mergeCell ref="B42:F42"/>
    <mergeCell ref="B30:F30"/>
    <mergeCell ref="B31:F31"/>
    <mergeCell ref="B26:F26"/>
    <mergeCell ref="B27:F27"/>
    <mergeCell ref="B28:F28"/>
    <mergeCell ref="B29:F29"/>
    <mergeCell ref="B20:F20"/>
    <mergeCell ref="B21:F21"/>
    <mergeCell ref="B22:F22"/>
    <mergeCell ref="B23:F23"/>
    <mergeCell ref="A24:F24"/>
    <mergeCell ref="B15:F15"/>
    <mergeCell ref="B16:F16"/>
    <mergeCell ref="A17:F17"/>
    <mergeCell ref="B18:F18"/>
    <mergeCell ref="B19:F19"/>
    <mergeCell ref="B59:F59"/>
    <mergeCell ref="B60:F60"/>
    <mergeCell ref="B61:F61"/>
    <mergeCell ref="B62:F62"/>
    <mergeCell ref="A1:F1"/>
    <mergeCell ref="A2:F2"/>
    <mergeCell ref="A4:F4"/>
    <mergeCell ref="B5:F5"/>
    <mergeCell ref="B6:F6"/>
    <mergeCell ref="B7:F7"/>
    <mergeCell ref="B8:F8"/>
    <mergeCell ref="B9:F9"/>
    <mergeCell ref="B10:F10"/>
    <mergeCell ref="A12:F12"/>
    <mergeCell ref="B13:F13"/>
    <mergeCell ref="B14:F14"/>
    <mergeCell ref="B54:F54"/>
    <mergeCell ref="B55:F55"/>
    <mergeCell ref="B57:F57"/>
    <mergeCell ref="B49:F49"/>
    <mergeCell ref="B51:F51"/>
    <mergeCell ref="B52:F52"/>
    <mergeCell ref="B53:F5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L1000"/>
  <sheetViews>
    <sheetView workbookViewId="0">
      <selection activeCell="A5" sqref="A5:XFD5"/>
    </sheetView>
  </sheetViews>
  <sheetFormatPr defaultColWidth="14.44140625" defaultRowHeight="13.8" x14ac:dyDescent="0.25"/>
  <cols>
    <col min="1" max="1" width="6" style="26" customWidth="1"/>
    <col min="2" max="2" width="14" style="26" customWidth="1"/>
    <col min="3" max="3" width="30" style="26" customWidth="1"/>
    <col min="4" max="5" width="36" style="26" customWidth="1"/>
    <col min="6" max="8" width="16" style="26" customWidth="1"/>
    <col min="9" max="9" width="20" style="26" customWidth="1"/>
    <col min="10" max="11" width="14" style="26" customWidth="1"/>
    <col min="12" max="12" width="36" style="26" customWidth="1"/>
    <col min="13" max="26" width="8.6640625" style="26" customWidth="1"/>
    <col min="27" max="16384" width="14.44140625" style="26"/>
  </cols>
  <sheetData>
    <row r="1" spans="1:12" ht="21" x14ac:dyDescent="0.4">
      <c r="A1" s="59" t="s">
        <v>574</v>
      </c>
      <c r="B1" s="59"/>
      <c r="C1" s="59"/>
      <c r="D1" s="59"/>
      <c r="E1" s="59"/>
      <c r="F1" s="59"/>
      <c r="G1" s="59"/>
      <c r="H1" s="59"/>
      <c r="I1" s="59"/>
      <c r="J1" s="59"/>
      <c r="K1" s="59"/>
      <c r="L1" s="59"/>
    </row>
    <row r="2" spans="1:12" ht="14.4" x14ac:dyDescent="0.3">
      <c r="A2" s="60" t="s">
        <v>575</v>
      </c>
      <c r="B2" s="60"/>
      <c r="C2" s="60"/>
      <c r="D2" s="60"/>
      <c r="E2" s="60"/>
      <c r="F2" s="60"/>
      <c r="G2" s="60"/>
      <c r="H2" s="60"/>
      <c r="I2" s="60"/>
      <c r="J2" s="60"/>
      <c r="K2" s="60"/>
      <c r="L2" s="60"/>
    </row>
    <row r="4" spans="1:12" ht="27.6" x14ac:dyDescent="0.25">
      <c r="A4" s="48" t="s">
        <v>124</v>
      </c>
      <c r="B4" s="48" t="s">
        <v>576</v>
      </c>
      <c r="C4" s="48" t="s">
        <v>577</v>
      </c>
      <c r="D4" s="48" t="s">
        <v>297</v>
      </c>
      <c r="E4" s="48" t="s">
        <v>578</v>
      </c>
      <c r="F4" s="48" t="s">
        <v>579</v>
      </c>
      <c r="G4" s="48" t="s">
        <v>338</v>
      </c>
      <c r="H4" s="48" t="s">
        <v>337</v>
      </c>
      <c r="I4" s="48" t="s">
        <v>580</v>
      </c>
      <c r="J4" s="48" t="s">
        <v>581</v>
      </c>
      <c r="K4" s="48" t="s">
        <v>85</v>
      </c>
      <c r="L4" s="48" t="s">
        <v>582</v>
      </c>
    </row>
    <row r="5" spans="1:12" ht="27.6" x14ac:dyDescent="0.25">
      <c r="A5" s="27">
        <v>1</v>
      </c>
      <c r="B5" s="27" t="s">
        <v>583</v>
      </c>
      <c r="C5" s="27" t="s">
        <v>584</v>
      </c>
      <c r="D5" s="27" t="s">
        <v>585</v>
      </c>
      <c r="E5" s="27" t="s">
        <v>586</v>
      </c>
      <c r="F5" s="27" t="s">
        <v>587</v>
      </c>
      <c r="G5" s="27" t="s">
        <v>347</v>
      </c>
      <c r="H5" s="27" t="s">
        <v>363</v>
      </c>
      <c r="I5" s="27" t="s">
        <v>147</v>
      </c>
      <c r="J5" s="27" t="s">
        <v>96</v>
      </c>
      <c r="K5" s="27" t="s">
        <v>588</v>
      </c>
      <c r="L5" s="27" t="s">
        <v>589</v>
      </c>
    </row>
    <row r="6" spans="1:12" ht="27.6" x14ac:dyDescent="0.25">
      <c r="A6" s="29">
        <v>2</v>
      </c>
      <c r="B6" s="29" t="s">
        <v>590</v>
      </c>
      <c r="C6" s="29" t="s">
        <v>591</v>
      </c>
      <c r="D6" s="29" t="s">
        <v>592</v>
      </c>
      <c r="E6" s="29" t="s">
        <v>593</v>
      </c>
      <c r="F6" s="115" t="s">
        <v>594</v>
      </c>
      <c r="G6" s="29" t="s">
        <v>347</v>
      </c>
      <c r="H6" s="29" t="s">
        <v>272</v>
      </c>
      <c r="I6" s="29" t="s">
        <v>66</v>
      </c>
      <c r="J6" s="29" t="s">
        <v>96</v>
      </c>
      <c r="K6" s="29" t="s">
        <v>588</v>
      </c>
      <c r="L6" s="29" t="s">
        <v>595</v>
      </c>
    </row>
    <row r="7" spans="1:12" ht="27.6" x14ac:dyDescent="0.25">
      <c r="A7" s="27">
        <v>3</v>
      </c>
      <c r="B7" s="27" t="s">
        <v>596</v>
      </c>
      <c r="C7" s="27" t="s">
        <v>597</v>
      </c>
      <c r="D7" s="27" t="s">
        <v>598</v>
      </c>
      <c r="E7" s="27" t="s">
        <v>599</v>
      </c>
      <c r="F7" s="27" t="s">
        <v>587</v>
      </c>
      <c r="G7" s="27" t="s">
        <v>347</v>
      </c>
      <c r="H7" s="27" t="s">
        <v>480</v>
      </c>
      <c r="I7" s="27" t="s">
        <v>128</v>
      </c>
      <c r="J7" s="27" t="s">
        <v>96</v>
      </c>
      <c r="K7" s="27" t="s">
        <v>588</v>
      </c>
      <c r="L7" s="27" t="s">
        <v>600</v>
      </c>
    </row>
    <row r="8" spans="1:12" ht="27.6" x14ac:dyDescent="0.25">
      <c r="A8" s="29">
        <v>4</v>
      </c>
      <c r="B8" s="29" t="s">
        <v>601</v>
      </c>
      <c r="C8" s="29" t="s">
        <v>602</v>
      </c>
      <c r="D8" s="29" t="s">
        <v>603</v>
      </c>
      <c r="E8" s="29" t="s">
        <v>604</v>
      </c>
      <c r="F8" s="29" t="s">
        <v>594</v>
      </c>
      <c r="G8" s="29" t="s">
        <v>475</v>
      </c>
      <c r="H8" s="29" t="s">
        <v>459</v>
      </c>
      <c r="I8" s="29" t="s">
        <v>147</v>
      </c>
      <c r="J8" s="29" t="s">
        <v>96</v>
      </c>
      <c r="K8" s="29" t="s">
        <v>588</v>
      </c>
      <c r="L8" s="29" t="s">
        <v>605</v>
      </c>
    </row>
    <row r="9" spans="1:12" ht="27.6" x14ac:dyDescent="0.25">
      <c r="A9" s="27">
        <v>5</v>
      </c>
      <c r="B9" s="27" t="s">
        <v>606</v>
      </c>
      <c r="C9" s="27" t="s">
        <v>607</v>
      </c>
      <c r="D9" s="27" t="s">
        <v>608</v>
      </c>
      <c r="E9" s="27" t="s">
        <v>609</v>
      </c>
      <c r="F9" s="27" t="s">
        <v>587</v>
      </c>
      <c r="G9" s="27" t="s">
        <v>347</v>
      </c>
      <c r="H9" s="27" t="s">
        <v>480</v>
      </c>
      <c r="I9" s="27" t="s">
        <v>128</v>
      </c>
      <c r="J9" s="27" t="s">
        <v>96</v>
      </c>
      <c r="K9" s="27" t="s">
        <v>588</v>
      </c>
      <c r="L9" s="27" t="s">
        <v>610</v>
      </c>
    </row>
    <row r="10" spans="1:12" ht="27.6" x14ac:dyDescent="0.25">
      <c r="A10" s="29">
        <v>6</v>
      </c>
      <c r="B10" s="29" t="s">
        <v>611</v>
      </c>
      <c r="C10" s="29" t="s">
        <v>612</v>
      </c>
      <c r="D10" s="29" t="s">
        <v>613</v>
      </c>
      <c r="E10" s="29" t="s">
        <v>614</v>
      </c>
      <c r="F10" s="115" t="s">
        <v>594</v>
      </c>
      <c r="G10" s="29" t="s">
        <v>475</v>
      </c>
      <c r="H10" s="29" t="s">
        <v>480</v>
      </c>
      <c r="I10" s="29" t="s">
        <v>66</v>
      </c>
      <c r="J10" s="29" t="s">
        <v>96</v>
      </c>
      <c r="K10" s="29" t="s">
        <v>588</v>
      </c>
      <c r="L10" s="29" t="s">
        <v>615</v>
      </c>
    </row>
    <row r="11" spans="1:12" x14ac:dyDescent="0.25">
      <c r="A11" s="27"/>
      <c r="B11" s="27"/>
      <c r="C11" s="27"/>
      <c r="D11" s="27"/>
      <c r="E11" s="27"/>
      <c r="F11" s="27"/>
      <c r="G11" s="27"/>
      <c r="H11" s="27"/>
      <c r="I11" s="27"/>
      <c r="J11" s="27"/>
      <c r="K11" s="27"/>
      <c r="L11" s="27"/>
    </row>
    <row r="12" spans="1:12" ht="14.4" thickBot="1" x14ac:dyDescent="0.3">
      <c r="A12" s="68" t="s">
        <v>616</v>
      </c>
      <c r="B12" s="69"/>
      <c r="C12" s="69"/>
      <c r="D12" s="69"/>
      <c r="E12" s="69"/>
      <c r="F12" s="69"/>
      <c r="G12" s="69"/>
      <c r="H12" s="69"/>
      <c r="I12" s="69"/>
      <c r="J12" s="69"/>
      <c r="K12" s="69"/>
      <c r="L12" s="70"/>
    </row>
    <row r="13" spans="1:12" s="63" customFormat="1" ht="28.2" thickBot="1" x14ac:dyDescent="0.3">
      <c r="B13" s="109" t="s">
        <v>617</v>
      </c>
      <c r="C13" s="55" t="s">
        <v>618</v>
      </c>
      <c r="D13" s="55"/>
      <c r="E13" s="55"/>
      <c r="F13" s="55"/>
      <c r="G13" s="55"/>
      <c r="H13" s="55"/>
      <c r="I13" s="55"/>
      <c r="J13" s="55"/>
      <c r="K13" s="55"/>
      <c r="L13" s="55"/>
    </row>
    <row r="14" spans="1:12" s="63" customFormat="1" ht="42" thickBot="1" x14ac:dyDescent="0.3">
      <c r="B14" s="110" t="s">
        <v>587</v>
      </c>
      <c r="C14" s="55" t="s">
        <v>619</v>
      </c>
      <c r="D14" s="55"/>
      <c r="E14" s="55"/>
      <c r="F14" s="55"/>
      <c r="G14" s="55"/>
      <c r="H14" s="55"/>
      <c r="I14" s="55"/>
      <c r="J14" s="55"/>
      <c r="K14" s="55"/>
      <c r="L14" s="55"/>
    </row>
    <row r="15" spans="1:12" s="63" customFormat="1" ht="42" thickBot="1" x14ac:dyDescent="0.3">
      <c r="B15" s="111" t="s">
        <v>594</v>
      </c>
      <c r="C15" s="55" t="s">
        <v>620</v>
      </c>
      <c r="D15" s="55"/>
      <c r="E15" s="55"/>
      <c r="F15" s="55"/>
      <c r="G15" s="55"/>
      <c r="H15" s="55"/>
      <c r="I15" s="55"/>
      <c r="J15" s="55"/>
      <c r="K15" s="55"/>
      <c r="L15" s="55"/>
    </row>
    <row r="16" spans="1:12" s="63" customFormat="1" ht="28.2" thickBot="1" x14ac:dyDescent="0.3">
      <c r="B16" s="112" t="s">
        <v>621</v>
      </c>
      <c r="C16" s="55" t="s">
        <v>622</v>
      </c>
      <c r="D16" s="55"/>
      <c r="E16" s="55"/>
      <c r="F16" s="55"/>
      <c r="G16" s="55"/>
      <c r="H16" s="55"/>
      <c r="I16" s="55"/>
      <c r="J16" s="55"/>
      <c r="K16" s="55"/>
      <c r="L16" s="55"/>
    </row>
    <row r="17" spans="1:12" s="63" customFormat="1" x14ac:dyDescent="0.25">
      <c r="A17" s="55"/>
      <c r="B17" s="55"/>
      <c r="C17" s="55"/>
      <c r="D17" s="55"/>
      <c r="E17" s="55"/>
      <c r="F17" s="55"/>
      <c r="G17" s="55"/>
      <c r="H17" s="55"/>
      <c r="I17" s="55"/>
      <c r="J17" s="55"/>
      <c r="K17" s="55"/>
      <c r="L17" s="55"/>
    </row>
    <row r="18" spans="1:12" s="63" customFormat="1" x14ac:dyDescent="0.25">
      <c r="A18" s="55"/>
      <c r="B18" s="55"/>
      <c r="C18" s="55"/>
      <c r="D18" s="55"/>
      <c r="E18" s="55"/>
      <c r="F18" s="55"/>
      <c r="G18" s="55"/>
      <c r="H18" s="55"/>
      <c r="I18" s="55"/>
      <c r="J18" s="55"/>
      <c r="K18" s="55"/>
      <c r="L18" s="55"/>
    </row>
    <row r="19" spans="1:12" s="63" customFormat="1" x14ac:dyDescent="0.25">
      <c r="A19" s="55"/>
      <c r="B19" s="55"/>
      <c r="C19" s="55"/>
      <c r="D19" s="55"/>
      <c r="E19" s="55"/>
      <c r="F19" s="55"/>
      <c r="G19" s="55"/>
      <c r="H19" s="55"/>
      <c r="I19" s="55"/>
      <c r="J19" s="55"/>
      <c r="K19" s="55"/>
      <c r="L19" s="55"/>
    </row>
    <row r="20" spans="1:12" s="63" customFormat="1" x14ac:dyDescent="0.25">
      <c r="A20" s="55"/>
      <c r="B20" s="55"/>
      <c r="C20" s="55"/>
      <c r="D20" s="55"/>
      <c r="E20" s="55"/>
      <c r="F20" s="55"/>
      <c r="G20" s="55"/>
      <c r="H20" s="55"/>
      <c r="I20" s="55"/>
      <c r="J20" s="55"/>
      <c r="K20" s="55"/>
      <c r="L20" s="55"/>
    </row>
    <row r="21" spans="1:12" s="63" customFormat="1" ht="12.6" customHeight="1" x14ac:dyDescent="0.25">
      <c r="A21" s="55"/>
      <c r="B21" s="55"/>
      <c r="C21" s="55"/>
      <c r="D21" s="55"/>
      <c r="E21" s="55"/>
      <c r="F21" s="55"/>
      <c r="G21" s="55"/>
      <c r="H21" s="55"/>
      <c r="I21" s="55"/>
      <c r="J21" s="55"/>
      <c r="K21" s="55"/>
      <c r="L21" s="55"/>
    </row>
    <row r="22" spans="1:12" s="63" customFormat="1" ht="12.6" customHeight="1" x14ac:dyDescent="0.25">
      <c r="A22" s="55"/>
      <c r="B22" s="55"/>
      <c r="C22" s="55"/>
      <c r="D22" s="55"/>
      <c r="E22" s="55"/>
      <c r="F22" s="55"/>
      <c r="G22" s="55"/>
      <c r="H22" s="55"/>
      <c r="I22" s="55"/>
      <c r="J22" s="55"/>
      <c r="K22" s="55"/>
      <c r="L22" s="55"/>
    </row>
    <row r="23" spans="1:12" s="63" customFormat="1" ht="12.6" customHeight="1" x14ac:dyDescent="0.25">
      <c r="A23" s="55"/>
      <c r="B23" s="55"/>
      <c r="C23" s="55"/>
      <c r="D23" s="55"/>
      <c r="E23" s="55"/>
      <c r="F23" s="55"/>
      <c r="G23" s="55"/>
      <c r="H23" s="55"/>
      <c r="I23" s="55"/>
      <c r="J23" s="55"/>
      <c r="K23" s="55"/>
      <c r="L23" s="55"/>
    </row>
    <row r="24" spans="1:12" s="63" customFormat="1" ht="12.6" customHeight="1" x14ac:dyDescent="0.25">
      <c r="A24" s="55"/>
      <c r="B24" s="55"/>
      <c r="C24" s="55"/>
      <c r="D24" s="55"/>
      <c r="E24" s="55"/>
      <c r="F24" s="55"/>
      <c r="G24" s="55"/>
      <c r="H24" s="55"/>
      <c r="I24" s="55"/>
      <c r="J24" s="55"/>
      <c r="K24" s="55"/>
      <c r="L24" s="55"/>
    </row>
    <row r="25" spans="1:12" s="63" customFormat="1" ht="12.6" customHeight="1" x14ac:dyDescent="0.25">
      <c r="A25" s="55"/>
      <c r="B25" s="55"/>
      <c r="C25" s="55"/>
      <c r="D25" s="55"/>
      <c r="E25" s="55"/>
      <c r="F25" s="55"/>
      <c r="G25" s="55"/>
      <c r="H25" s="55"/>
      <c r="I25" s="55"/>
      <c r="J25" s="55"/>
      <c r="K25" s="55"/>
      <c r="L25" s="55"/>
    </row>
    <row r="26" spans="1:12" s="63" customFormat="1" ht="12.6" customHeight="1" x14ac:dyDescent="0.25">
      <c r="A26" s="55"/>
      <c r="B26" s="55"/>
      <c r="C26" s="55"/>
      <c r="D26" s="55"/>
      <c r="E26" s="55"/>
      <c r="F26" s="55"/>
      <c r="G26" s="55"/>
      <c r="H26" s="55"/>
      <c r="I26" s="55"/>
      <c r="J26" s="55"/>
      <c r="K26" s="55"/>
      <c r="L26" s="55"/>
    </row>
    <row r="27" spans="1:12" s="63" customFormat="1" ht="12.6" customHeight="1" x14ac:dyDescent="0.25">
      <c r="A27" s="55"/>
      <c r="B27" s="55"/>
      <c r="C27" s="55"/>
      <c r="D27" s="55"/>
      <c r="E27" s="55"/>
      <c r="F27" s="55"/>
      <c r="G27" s="55"/>
      <c r="H27" s="55"/>
      <c r="I27" s="55"/>
      <c r="J27" s="55"/>
      <c r="K27" s="55"/>
      <c r="L27" s="55"/>
    </row>
    <row r="28" spans="1:12" s="63" customFormat="1" ht="12.6" customHeight="1" x14ac:dyDescent="0.25">
      <c r="A28" s="55"/>
      <c r="B28" s="55"/>
      <c r="C28" s="55"/>
      <c r="D28" s="55"/>
      <c r="E28" s="55"/>
      <c r="F28" s="55"/>
      <c r="G28" s="55"/>
      <c r="H28" s="55"/>
      <c r="I28" s="55"/>
      <c r="J28" s="55"/>
      <c r="K28" s="55"/>
      <c r="L28" s="55"/>
    </row>
    <row r="29" spans="1:12" s="63" customFormat="1" ht="12.6" customHeight="1" x14ac:dyDescent="0.25">
      <c r="A29" s="55"/>
      <c r="B29" s="55"/>
      <c r="C29" s="55"/>
      <c r="D29" s="55"/>
      <c r="E29" s="55"/>
      <c r="F29" s="55"/>
      <c r="G29" s="55"/>
      <c r="H29" s="55"/>
      <c r="I29" s="55"/>
      <c r="J29" s="55"/>
      <c r="K29" s="55"/>
      <c r="L29" s="55"/>
    </row>
    <row r="30" spans="1:12" s="63" customFormat="1" ht="12.6" customHeight="1" x14ac:dyDescent="0.25">
      <c r="A30" s="55"/>
      <c r="B30" s="55"/>
      <c r="C30" s="55"/>
      <c r="D30" s="55"/>
      <c r="E30" s="55"/>
      <c r="F30" s="55"/>
      <c r="G30" s="55"/>
      <c r="H30" s="55"/>
      <c r="I30" s="55"/>
      <c r="J30" s="55"/>
      <c r="K30" s="55"/>
      <c r="L30" s="55"/>
    </row>
    <row r="31" spans="1:12" s="63" customFormat="1" ht="12.6" customHeight="1" x14ac:dyDescent="0.25">
      <c r="A31" s="55"/>
      <c r="B31" s="55"/>
      <c r="C31" s="55"/>
      <c r="D31" s="55"/>
      <c r="E31" s="55"/>
      <c r="F31" s="55"/>
      <c r="G31" s="55"/>
      <c r="H31" s="55"/>
      <c r="I31" s="55"/>
      <c r="J31" s="55"/>
      <c r="K31" s="55"/>
      <c r="L31" s="55"/>
    </row>
    <row r="32" spans="1:12" s="63" customFormat="1" ht="12.6" customHeight="1" x14ac:dyDescent="0.25">
      <c r="A32" s="55"/>
      <c r="B32" s="55"/>
      <c r="C32" s="55"/>
      <c r="D32" s="55"/>
      <c r="E32" s="55"/>
      <c r="F32" s="55"/>
      <c r="G32" s="55"/>
      <c r="H32" s="55"/>
      <c r="I32" s="55"/>
      <c r="J32" s="55"/>
      <c r="K32" s="55"/>
      <c r="L32" s="55"/>
    </row>
    <row r="33" spans="1:12" s="63" customFormat="1" ht="12.6" customHeight="1" x14ac:dyDescent="0.25">
      <c r="A33" s="55"/>
      <c r="B33" s="55"/>
      <c r="C33" s="55"/>
      <c r="D33" s="55"/>
      <c r="E33" s="55"/>
      <c r="F33" s="55"/>
      <c r="G33" s="55"/>
      <c r="H33" s="55"/>
      <c r="I33" s="55"/>
      <c r="J33" s="55"/>
      <c r="K33" s="55"/>
      <c r="L33" s="55"/>
    </row>
    <row r="34" spans="1:12" s="63" customFormat="1" ht="12.6" customHeight="1" x14ac:dyDescent="0.25">
      <c r="A34" s="55"/>
      <c r="B34" s="55"/>
      <c r="C34" s="55"/>
      <c r="D34" s="55"/>
      <c r="E34" s="55"/>
      <c r="F34" s="55"/>
      <c r="G34" s="55"/>
      <c r="H34" s="55"/>
      <c r="I34" s="55"/>
      <c r="J34" s="55"/>
      <c r="K34" s="55"/>
      <c r="L34" s="55"/>
    </row>
    <row r="35" spans="1:12" s="63" customFormat="1" ht="12.6" customHeight="1" x14ac:dyDescent="0.25">
      <c r="A35" s="55"/>
      <c r="B35" s="55"/>
      <c r="C35" s="55"/>
      <c r="D35" s="55"/>
      <c r="E35" s="55"/>
      <c r="F35" s="55"/>
      <c r="G35" s="55"/>
      <c r="H35" s="55"/>
      <c r="I35" s="55"/>
      <c r="J35" s="55"/>
      <c r="K35" s="55"/>
      <c r="L35" s="55"/>
    </row>
    <row r="36" spans="1:12" s="63" customFormat="1" ht="12.6" customHeight="1" x14ac:dyDescent="0.25"/>
    <row r="37" spans="1:12" s="63" customFormat="1" ht="12.6" customHeight="1" x14ac:dyDescent="0.25">
      <c r="A37" s="72"/>
    </row>
    <row r="38" spans="1:12" s="63" customFormat="1" ht="12.6" customHeight="1" x14ac:dyDescent="0.25">
      <c r="A38" s="113"/>
    </row>
    <row r="39" spans="1:12" s="63" customFormat="1" ht="12.6" customHeight="1" x14ac:dyDescent="0.25">
      <c r="A39" s="113"/>
    </row>
    <row r="40" spans="1:12" s="63" customFormat="1" ht="12.6" customHeight="1" x14ac:dyDescent="0.25">
      <c r="A40" s="114"/>
    </row>
    <row r="41" spans="1:12" s="63" customFormat="1" ht="12.6" customHeight="1" x14ac:dyDescent="0.25">
      <c r="A41" s="114"/>
    </row>
    <row r="42" spans="1:12" s="63" customFormat="1" ht="12.6" customHeight="1" x14ac:dyDescent="0.25"/>
    <row r="43" spans="1:12" s="63" customFormat="1" ht="12.6" customHeight="1" x14ac:dyDescent="0.25"/>
    <row r="44" spans="1:12" s="63" customFormat="1" ht="12.6" customHeight="1" x14ac:dyDescent="0.25"/>
    <row r="45" spans="1:12" s="63" customFormat="1" ht="12.6" customHeight="1" x14ac:dyDescent="0.25"/>
    <row r="46" spans="1:12" s="63" customFormat="1" ht="12.6" customHeight="1" x14ac:dyDescent="0.25"/>
    <row r="47" spans="1:12" s="63" customFormat="1" ht="12.6" customHeight="1" x14ac:dyDescent="0.25"/>
    <row r="48" spans="1:12" s="63" customFormat="1" ht="12.6" customHeight="1" x14ac:dyDescent="0.25"/>
    <row r="49" s="63" customFormat="1" ht="12.6" customHeight="1" x14ac:dyDescent="0.25"/>
    <row r="50" s="63" customFormat="1" ht="12.6" customHeight="1" x14ac:dyDescent="0.25"/>
    <row r="51" s="63" customFormat="1" ht="12.6" customHeight="1" x14ac:dyDescent="0.25"/>
    <row r="52" s="63" customFormat="1" ht="12.6" customHeight="1" x14ac:dyDescent="0.25"/>
    <row r="53" s="63" customFormat="1" ht="12.6" customHeight="1" x14ac:dyDescent="0.25"/>
    <row r="54" s="63" customFormat="1" ht="12.6" customHeight="1" x14ac:dyDescent="0.25"/>
    <row r="55" s="63" customFormat="1" ht="12.6" customHeight="1" x14ac:dyDescent="0.25"/>
    <row r="56" s="63" customFormat="1" ht="12.6" customHeight="1" x14ac:dyDescent="0.25"/>
    <row r="57" s="63" customFormat="1" ht="12.6" customHeight="1" x14ac:dyDescent="0.25"/>
    <row r="58" s="63" customFormat="1" ht="12.6" customHeight="1" x14ac:dyDescent="0.25"/>
    <row r="59" s="63" customFormat="1" ht="12.6" customHeight="1" x14ac:dyDescent="0.25"/>
    <row r="60" s="63" customFormat="1" ht="12.6" customHeight="1" x14ac:dyDescent="0.25"/>
    <row r="61" s="63" customFormat="1" ht="12.6" customHeight="1" x14ac:dyDescent="0.25"/>
    <row r="62" s="63" customFormat="1" ht="12.6" customHeight="1" x14ac:dyDescent="0.25"/>
    <row r="63" s="63" customFormat="1" ht="12.6" customHeight="1" x14ac:dyDescent="0.25"/>
    <row r="64" s="63" customFormat="1" ht="12.6" customHeight="1" x14ac:dyDescent="0.25"/>
    <row r="65" s="63" customFormat="1" ht="12.6" customHeight="1" x14ac:dyDescent="0.25"/>
    <row r="66" s="63" customFormat="1" ht="12.6" customHeight="1" x14ac:dyDescent="0.25"/>
    <row r="67" s="63" customFormat="1" ht="12.6" customHeight="1" x14ac:dyDescent="0.25"/>
    <row r="68" s="63" customFormat="1" ht="12.6" customHeight="1" x14ac:dyDescent="0.25"/>
    <row r="69" s="63" customFormat="1" ht="12.6" customHeight="1" x14ac:dyDescent="0.25"/>
    <row r="70" s="63" customFormat="1" ht="12.6" customHeight="1" x14ac:dyDescent="0.25"/>
    <row r="71" s="63" customFormat="1" ht="12.6" customHeight="1" x14ac:dyDescent="0.25"/>
    <row r="72" s="63" customFormat="1" ht="12.6" customHeight="1" x14ac:dyDescent="0.25"/>
    <row r="73" s="63" customFormat="1" ht="12.6" customHeight="1" x14ac:dyDescent="0.25"/>
    <row r="74" s="63" customFormat="1" ht="12.6" customHeight="1" x14ac:dyDescent="0.25"/>
    <row r="75" s="63" customFormat="1" ht="12.6" customHeight="1" x14ac:dyDescent="0.25"/>
    <row r="76" s="63" customFormat="1" ht="12.6" customHeight="1" x14ac:dyDescent="0.25"/>
    <row r="77" s="63" customFormat="1" ht="12.6" customHeight="1" x14ac:dyDescent="0.25"/>
    <row r="78" s="63" customFormat="1" ht="12.6" customHeight="1" x14ac:dyDescent="0.25"/>
    <row r="79" s="63" customFormat="1" ht="12.6" customHeight="1" x14ac:dyDescent="0.25"/>
    <row r="80" s="63" customFormat="1" ht="12.6" customHeight="1" x14ac:dyDescent="0.25"/>
    <row r="81" s="63" customFormat="1" ht="12.6" customHeight="1" x14ac:dyDescent="0.25"/>
    <row r="82" s="63" customFormat="1" ht="12.6" customHeight="1" x14ac:dyDescent="0.25"/>
    <row r="83" s="63" customFormat="1" ht="12.6" customHeight="1" x14ac:dyDescent="0.25"/>
    <row r="84" s="63" customFormat="1" ht="12.6" customHeight="1" x14ac:dyDescent="0.25"/>
    <row r="85" s="63" customFormat="1" ht="12.6" customHeight="1" x14ac:dyDescent="0.25"/>
    <row r="86" s="63" customFormat="1" ht="12.6" customHeight="1" x14ac:dyDescent="0.25"/>
    <row r="87" s="63" customFormat="1" ht="12.6" customHeight="1" x14ac:dyDescent="0.25"/>
    <row r="88" s="63" customFormat="1"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mergeCells count="3">
    <mergeCell ref="A1:L1"/>
    <mergeCell ref="A2:L2"/>
    <mergeCell ref="A12:L12"/>
  </mergeCells>
  <conditionalFormatting sqref="F5:F11 F13:F35">
    <cfRule type="cellIs" dxfId="9" priority="1" operator="equal">
      <formula>"Nghiêm trọng"</formula>
    </cfRule>
    <cfRule type="cellIs" dxfId="8" priority="2" operator="equal">
      <formula>"Cao"</formula>
    </cfRule>
    <cfRule type="cellIs" dxfId="7" priority="3" operator="equal">
      <formula>"Trung bình"</formula>
    </cfRule>
    <cfRule type="cellIs" dxfId="6" priority="4" operator="equal">
      <formula>"Thấp"</formula>
    </cfRule>
  </conditionalFormatting>
  <conditionalFormatting sqref="G5:G11 G13:G35">
    <cfRule type="cellIs" dxfId="5" priority="9" operator="equal">
      <formula>"P0"</formula>
    </cfRule>
    <cfRule type="cellIs" dxfId="4" priority="10" operator="equal">
      <formula>"P1"</formula>
    </cfRule>
  </conditionalFormatting>
  <conditionalFormatting sqref="K5:K11 K13:K35">
    <cfRule type="cellIs" dxfId="3" priority="5" operator="equal">
      <formula>"Hoàn thành"</formula>
    </cfRule>
    <cfRule type="cellIs" dxfId="2" priority="6" operator="equal">
      <formula>"Đang làm"</formula>
    </cfRule>
    <cfRule type="cellIs" dxfId="1" priority="7" operator="equal">
      <formula>"Bị kẹt"</formula>
    </cfRule>
    <cfRule type="cellIs" dxfId="0" priority="8" operator="equal">
      <formula>"Chưa bắt đầu"</formula>
    </cfRule>
  </conditionalFormatting>
  <dataValidations count="3">
    <dataValidation type="list" allowBlank="1" sqref="F5:F11 F13:F35" xr:uid="{00000000-0002-0000-0700-000000000000}">
      <formula1>"Nghiêm trọng,Cao,Trung bình,Thấp"</formula1>
    </dataValidation>
    <dataValidation type="list" allowBlank="1" sqref="K5:K11 K13:K35" xr:uid="{00000000-0002-0000-0700-000001000000}">
      <formula1>"Mở,Đang sửa,Đang kiểm thử,Đã sửa,Không sửa,Lặp lại"</formula1>
    </dataValidation>
    <dataValidation type="list" allowBlank="1" sqref="G5:G11 G13:G35" xr:uid="{00000000-0002-0000-0700-000002000000}">
      <formula1>"P0,P1,P2,P3"</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75623"/>
  </sheetPr>
  <dimension ref="A1:H31"/>
  <sheetViews>
    <sheetView workbookViewId="0">
      <pane ySplit="4" topLeftCell="A8" activePane="bottomLeft" state="frozen"/>
      <selection pane="bottomLeft" activeCell="E20" sqref="E20"/>
    </sheetView>
  </sheetViews>
  <sheetFormatPr defaultColWidth="14.44140625" defaultRowHeight="13.8" x14ac:dyDescent="0.25"/>
  <cols>
    <col min="1" max="1" width="6" style="26" customWidth="1"/>
    <col min="2" max="2" width="24.6640625" style="26" bestFit="1" customWidth="1"/>
    <col min="3" max="3" width="36" style="26" customWidth="1"/>
    <col min="4" max="4" width="48" style="26" customWidth="1"/>
    <col min="5" max="5" width="34" style="26" customWidth="1"/>
    <col min="6" max="6" width="20" style="26" customWidth="1"/>
    <col min="7" max="7" width="14" style="26" customWidth="1"/>
    <col min="8" max="8" width="22" style="26" customWidth="1"/>
    <col min="9" max="26" width="8.6640625" style="26" customWidth="1"/>
    <col min="27" max="16384" width="14.44140625" style="26"/>
  </cols>
  <sheetData>
    <row r="1" spans="1:8" ht="21" x14ac:dyDescent="0.25">
      <c r="A1" s="161" t="s">
        <v>716</v>
      </c>
      <c r="B1" s="161"/>
      <c r="C1" s="161"/>
      <c r="D1" s="161"/>
      <c r="E1" s="161"/>
      <c r="F1" s="161"/>
      <c r="G1" s="161"/>
      <c r="H1" s="161"/>
    </row>
    <row r="2" spans="1:8" ht="14.4" x14ac:dyDescent="0.3">
      <c r="A2" s="93" t="s">
        <v>717</v>
      </c>
      <c r="B2" s="93"/>
      <c r="C2" s="93"/>
      <c r="D2" s="93"/>
      <c r="E2" s="93"/>
      <c r="F2" s="93"/>
      <c r="G2" s="93"/>
      <c r="H2" s="93"/>
    </row>
    <row r="3" spans="1:8" ht="14.4" thickBot="1" x14ac:dyDescent="0.3"/>
    <row r="4" spans="1:8" ht="14.4" thickBot="1" x14ac:dyDescent="0.3">
      <c r="A4" s="162" t="s">
        <v>124</v>
      </c>
      <c r="B4" s="163" t="s">
        <v>703</v>
      </c>
      <c r="C4" s="163" t="s">
        <v>623</v>
      </c>
      <c r="D4" s="163" t="s">
        <v>188</v>
      </c>
      <c r="E4" s="163" t="s">
        <v>125</v>
      </c>
      <c r="F4" s="163" t="s">
        <v>714</v>
      </c>
      <c r="G4" s="163" t="s">
        <v>513</v>
      </c>
      <c r="H4" s="163" t="s">
        <v>715</v>
      </c>
    </row>
    <row r="5" spans="1:8" x14ac:dyDescent="0.25">
      <c r="A5" s="164"/>
      <c r="B5" s="165" t="s">
        <v>718</v>
      </c>
      <c r="C5" s="166"/>
      <c r="D5" s="166"/>
      <c r="E5" s="166"/>
      <c r="F5" s="167"/>
      <c r="G5" s="167"/>
      <c r="H5" s="168"/>
    </row>
    <row r="6" spans="1:8" s="138" customFormat="1" ht="27.6" x14ac:dyDescent="0.25">
      <c r="A6" s="135">
        <v>1</v>
      </c>
      <c r="B6" s="137"/>
      <c r="C6" s="137" t="s">
        <v>719</v>
      </c>
      <c r="D6" s="137" t="s">
        <v>720</v>
      </c>
      <c r="E6" s="136" t="s">
        <v>348</v>
      </c>
      <c r="F6" s="169" t="s">
        <v>66</v>
      </c>
      <c r="G6" s="135" t="s">
        <v>304</v>
      </c>
      <c r="H6" s="135" t="s">
        <v>129</v>
      </c>
    </row>
    <row r="7" spans="1:8" s="138" customFormat="1" ht="27.6" x14ac:dyDescent="0.25">
      <c r="A7" s="135">
        <v>2</v>
      </c>
      <c r="B7" s="137"/>
      <c r="C7" s="137" t="s">
        <v>721</v>
      </c>
      <c r="D7" s="137" t="s">
        <v>722</v>
      </c>
      <c r="E7" s="136" t="s">
        <v>354</v>
      </c>
      <c r="F7" s="169" t="s">
        <v>66</v>
      </c>
      <c r="G7" s="135" t="s">
        <v>304</v>
      </c>
      <c r="H7" s="135" t="s">
        <v>129</v>
      </c>
    </row>
    <row r="8" spans="1:8" s="138" customFormat="1" ht="27.6" x14ac:dyDescent="0.25">
      <c r="A8" s="135">
        <v>3</v>
      </c>
      <c r="B8" s="137"/>
      <c r="C8" s="137" t="s">
        <v>723</v>
      </c>
      <c r="D8" s="137" t="s">
        <v>724</v>
      </c>
      <c r="E8" s="136"/>
      <c r="F8" s="169" t="s">
        <v>332</v>
      </c>
      <c r="G8" s="135" t="s">
        <v>309</v>
      </c>
      <c r="H8" s="135" t="s">
        <v>725</v>
      </c>
    </row>
    <row r="9" spans="1:8" x14ac:dyDescent="0.25">
      <c r="A9" s="164"/>
      <c r="B9" s="165" t="s">
        <v>726</v>
      </c>
      <c r="C9" s="166"/>
      <c r="D9" s="166"/>
      <c r="E9" s="166"/>
      <c r="F9" s="167"/>
      <c r="G9" s="167"/>
      <c r="H9" s="168"/>
    </row>
    <row r="10" spans="1:8" s="138" customFormat="1" ht="27.6" x14ac:dyDescent="0.25">
      <c r="A10" s="135">
        <v>4</v>
      </c>
      <c r="B10" s="137"/>
      <c r="C10" s="137" t="s">
        <v>727</v>
      </c>
      <c r="D10" s="137" t="s">
        <v>728</v>
      </c>
      <c r="E10" s="136" t="s">
        <v>729</v>
      </c>
      <c r="F10" s="169" t="s">
        <v>128</v>
      </c>
      <c r="G10" s="135" t="s">
        <v>309</v>
      </c>
      <c r="H10" s="135" t="s">
        <v>129</v>
      </c>
    </row>
    <row r="11" spans="1:8" s="138" customFormat="1" ht="27.6" x14ac:dyDescent="0.25">
      <c r="A11" s="135">
        <v>5</v>
      </c>
      <c r="B11" s="137"/>
      <c r="C11" s="137" t="s">
        <v>730</v>
      </c>
      <c r="D11" s="137" t="s">
        <v>731</v>
      </c>
      <c r="E11" s="136" t="s">
        <v>359</v>
      </c>
      <c r="F11" s="169" t="s">
        <v>128</v>
      </c>
      <c r="G11" s="135" t="s">
        <v>309</v>
      </c>
      <c r="H11" s="135" t="s">
        <v>129</v>
      </c>
    </row>
    <row r="12" spans="1:8" s="138" customFormat="1" ht="27.6" x14ac:dyDescent="0.25">
      <c r="A12" s="135">
        <v>6</v>
      </c>
      <c r="B12" s="137"/>
      <c r="C12" s="137" t="s">
        <v>732</v>
      </c>
      <c r="D12" s="137" t="s">
        <v>625</v>
      </c>
      <c r="E12" s="136" t="s">
        <v>365</v>
      </c>
      <c r="F12" s="169" t="s">
        <v>147</v>
      </c>
      <c r="G12" s="135" t="s">
        <v>309</v>
      </c>
      <c r="H12" s="135" t="s">
        <v>129</v>
      </c>
    </row>
    <row r="13" spans="1:8" s="138" customFormat="1" ht="28.8" x14ac:dyDescent="0.25">
      <c r="A13" s="135">
        <v>7</v>
      </c>
      <c r="B13" s="137"/>
      <c r="C13" s="137" t="s">
        <v>733</v>
      </c>
      <c r="D13" s="137" t="s">
        <v>734</v>
      </c>
      <c r="E13" s="136" t="s">
        <v>626</v>
      </c>
      <c r="F13" s="169" t="s">
        <v>128</v>
      </c>
      <c r="G13" s="135" t="s">
        <v>309</v>
      </c>
      <c r="H13" s="135" t="s">
        <v>129</v>
      </c>
    </row>
    <row r="14" spans="1:8" s="138" customFormat="1" ht="27.6" x14ac:dyDescent="0.25">
      <c r="A14" s="135">
        <v>8</v>
      </c>
      <c r="B14" s="137"/>
      <c r="C14" s="137" t="s">
        <v>735</v>
      </c>
      <c r="D14" s="137" t="s">
        <v>736</v>
      </c>
      <c r="E14" s="136"/>
      <c r="F14" s="169" t="s">
        <v>128</v>
      </c>
      <c r="G14" s="135" t="s">
        <v>314</v>
      </c>
      <c r="H14" s="135" t="s">
        <v>143</v>
      </c>
    </row>
    <row r="15" spans="1:8" x14ac:dyDescent="0.25">
      <c r="A15" s="164"/>
      <c r="B15" s="170" t="s">
        <v>737</v>
      </c>
      <c r="C15" s="171"/>
      <c r="D15" s="171"/>
      <c r="E15" s="171"/>
      <c r="F15" s="172"/>
      <c r="G15" s="172"/>
      <c r="H15" s="173"/>
    </row>
    <row r="16" spans="1:8" s="138" customFormat="1" ht="27.6" x14ac:dyDescent="0.25">
      <c r="A16" s="135">
        <v>9</v>
      </c>
      <c r="B16" s="137"/>
      <c r="C16" s="137" t="s">
        <v>738</v>
      </c>
      <c r="D16" s="137" t="s">
        <v>739</v>
      </c>
      <c r="E16" s="136"/>
      <c r="F16" s="169" t="s">
        <v>332</v>
      </c>
      <c r="G16" s="135" t="s">
        <v>740</v>
      </c>
      <c r="H16" s="135" t="s">
        <v>741</v>
      </c>
    </row>
    <row r="17" spans="1:8" s="138" customFormat="1" ht="27.6" x14ac:dyDescent="0.25">
      <c r="A17" s="135">
        <v>10</v>
      </c>
      <c r="B17" s="137"/>
      <c r="C17" s="137" t="s">
        <v>742</v>
      </c>
      <c r="D17" s="137" t="s">
        <v>743</v>
      </c>
      <c r="E17" s="136" t="s">
        <v>742</v>
      </c>
      <c r="F17" s="169" t="s">
        <v>66</v>
      </c>
      <c r="G17" s="135" t="s">
        <v>740</v>
      </c>
      <c r="H17" s="135" t="s">
        <v>143</v>
      </c>
    </row>
    <row r="18" spans="1:8" s="138" customFormat="1" ht="27.6" x14ac:dyDescent="0.25">
      <c r="A18" s="135">
        <v>11</v>
      </c>
      <c r="B18" s="137"/>
      <c r="C18" s="137" t="s">
        <v>744</v>
      </c>
      <c r="D18" s="137" t="s">
        <v>745</v>
      </c>
      <c r="E18" s="136" t="s">
        <v>744</v>
      </c>
      <c r="F18" s="169" t="s">
        <v>332</v>
      </c>
      <c r="G18" s="135" t="s">
        <v>740</v>
      </c>
      <c r="H18" s="135" t="s">
        <v>143</v>
      </c>
    </row>
    <row r="19" spans="1:8" s="138" customFormat="1" ht="27.6" x14ac:dyDescent="0.25">
      <c r="A19" s="135">
        <v>12</v>
      </c>
      <c r="B19" s="137"/>
      <c r="C19" s="137" t="s">
        <v>746</v>
      </c>
      <c r="D19" s="137" t="s">
        <v>747</v>
      </c>
      <c r="E19" s="136" t="s">
        <v>627</v>
      </c>
      <c r="F19" s="169" t="s">
        <v>147</v>
      </c>
      <c r="G19" s="135" t="s">
        <v>325</v>
      </c>
      <c r="H19" s="135" t="s">
        <v>143</v>
      </c>
    </row>
    <row r="20" spans="1:8" x14ac:dyDescent="0.25">
      <c r="A20" s="164"/>
      <c r="B20" s="165" t="s">
        <v>748</v>
      </c>
      <c r="C20" s="166"/>
      <c r="D20" s="166"/>
      <c r="E20" s="166"/>
      <c r="F20" s="167"/>
      <c r="G20" s="167"/>
      <c r="H20" s="168"/>
    </row>
    <row r="21" spans="1:8" s="138" customFormat="1" ht="41.4" x14ac:dyDescent="0.25">
      <c r="A21" s="135">
        <v>13</v>
      </c>
      <c r="B21" s="137"/>
      <c r="C21" s="137" t="s">
        <v>494</v>
      </c>
      <c r="D21" s="137" t="s">
        <v>749</v>
      </c>
      <c r="E21" s="136" t="s">
        <v>494</v>
      </c>
      <c r="F21" s="169" t="s">
        <v>66</v>
      </c>
      <c r="G21" s="135" t="s">
        <v>331</v>
      </c>
      <c r="H21" s="135" t="s">
        <v>143</v>
      </c>
    </row>
    <row r="22" spans="1:8" s="138" customFormat="1" ht="27.6" x14ac:dyDescent="0.25">
      <c r="A22" s="135">
        <v>14</v>
      </c>
      <c r="B22" s="137"/>
      <c r="C22" s="137" t="s">
        <v>750</v>
      </c>
      <c r="D22" s="137" t="s">
        <v>751</v>
      </c>
      <c r="E22" s="136" t="s">
        <v>752</v>
      </c>
      <c r="F22" s="169" t="s">
        <v>128</v>
      </c>
      <c r="G22" s="135" t="s">
        <v>628</v>
      </c>
      <c r="H22" s="135" t="s">
        <v>143</v>
      </c>
    </row>
    <row r="23" spans="1:8" s="138" customFormat="1" ht="27.6" x14ac:dyDescent="0.25">
      <c r="A23" s="135">
        <v>15</v>
      </c>
      <c r="B23" s="137"/>
      <c r="C23" s="137" t="s">
        <v>5</v>
      </c>
      <c r="D23" s="137" t="s">
        <v>753</v>
      </c>
      <c r="E23" s="136" t="s">
        <v>754</v>
      </c>
      <c r="F23" s="169" t="s">
        <v>128</v>
      </c>
      <c r="G23" s="135" t="s">
        <v>628</v>
      </c>
      <c r="H23" s="135" t="s">
        <v>143</v>
      </c>
    </row>
    <row r="24" spans="1:8" s="138" customFormat="1" ht="27.6" x14ac:dyDescent="0.25">
      <c r="A24" s="135">
        <v>16</v>
      </c>
      <c r="B24" s="137"/>
      <c r="C24" s="137" t="s">
        <v>7</v>
      </c>
      <c r="D24" s="137" t="s">
        <v>755</v>
      </c>
      <c r="E24" s="136" t="s">
        <v>142</v>
      </c>
      <c r="F24" s="169" t="s">
        <v>66</v>
      </c>
      <c r="G24" s="135" t="s">
        <v>331</v>
      </c>
      <c r="H24" s="135" t="s">
        <v>143</v>
      </c>
    </row>
    <row r="25" spans="1:8" x14ac:dyDescent="0.25">
      <c r="A25" s="164"/>
      <c r="B25" s="165" t="s">
        <v>756</v>
      </c>
      <c r="C25" s="166"/>
      <c r="D25" s="166"/>
      <c r="E25" s="166"/>
      <c r="F25" s="167"/>
      <c r="G25" s="167"/>
      <c r="H25" s="168"/>
    </row>
    <row r="26" spans="1:8" s="138" customFormat="1" ht="27.6" x14ac:dyDescent="0.25">
      <c r="A26" s="135">
        <v>17</v>
      </c>
      <c r="B26" s="137"/>
      <c r="C26" s="137" t="s">
        <v>6</v>
      </c>
      <c r="D26" s="137" t="s">
        <v>757</v>
      </c>
      <c r="E26" s="136" t="s">
        <v>504</v>
      </c>
      <c r="F26" s="169" t="s">
        <v>332</v>
      </c>
      <c r="G26" s="135" t="s">
        <v>331</v>
      </c>
      <c r="H26" s="135" t="s">
        <v>143</v>
      </c>
    </row>
    <row r="27" spans="1:8" s="138" customFormat="1" ht="14.4" x14ac:dyDescent="0.25">
      <c r="A27" s="135">
        <v>18</v>
      </c>
      <c r="B27" s="137"/>
      <c r="C27" s="137" t="s">
        <v>758</v>
      </c>
      <c r="D27" s="137" t="s">
        <v>759</v>
      </c>
      <c r="E27" s="136" t="s">
        <v>760</v>
      </c>
      <c r="F27" s="169" t="s">
        <v>128</v>
      </c>
      <c r="G27" s="135" t="s">
        <v>628</v>
      </c>
      <c r="H27" s="135" t="s">
        <v>133</v>
      </c>
    </row>
    <row r="28" spans="1:8" s="138" customFormat="1" ht="28.8" x14ac:dyDescent="0.25">
      <c r="A28" s="135">
        <v>19</v>
      </c>
      <c r="B28" s="137"/>
      <c r="C28" s="137" t="s">
        <v>761</v>
      </c>
      <c r="D28" s="137" t="s">
        <v>762</v>
      </c>
      <c r="E28" s="136" t="s">
        <v>72</v>
      </c>
      <c r="F28" s="169" t="s">
        <v>332</v>
      </c>
      <c r="G28" s="135" t="s">
        <v>624</v>
      </c>
      <c r="H28" s="135" t="s">
        <v>725</v>
      </c>
    </row>
    <row r="29" spans="1:8" s="138" customFormat="1" ht="27.6" x14ac:dyDescent="0.25">
      <c r="A29" s="135">
        <v>20</v>
      </c>
      <c r="B29" s="137"/>
      <c r="C29" s="137" t="s">
        <v>763</v>
      </c>
      <c r="D29" s="137" t="s">
        <v>764</v>
      </c>
      <c r="E29" s="137" t="s">
        <v>1</v>
      </c>
      <c r="F29" s="135" t="s">
        <v>332</v>
      </c>
      <c r="G29" s="135" t="s">
        <v>331</v>
      </c>
      <c r="H29" s="135" t="s">
        <v>765</v>
      </c>
    </row>
    <row r="30" spans="1:8" x14ac:dyDescent="0.25">
      <c r="A30" s="33"/>
      <c r="B30" s="27"/>
      <c r="C30" s="27"/>
      <c r="D30" s="27"/>
      <c r="E30" s="27"/>
      <c r="F30" s="33"/>
      <c r="G30" s="33"/>
      <c r="H30" s="33"/>
    </row>
    <row r="31" spans="1:8" x14ac:dyDescent="0.25">
      <c r="A31" s="33"/>
      <c r="B31" s="27"/>
      <c r="C31" s="27"/>
      <c r="D31" s="27"/>
      <c r="E31" s="27"/>
      <c r="F31" s="33"/>
      <c r="G31" s="33"/>
      <c r="H31" s="33"/>
    </row>
  </sheetData>
  <mergeCells count="3">
    <mergeCell ref="A1:H1"/>
    <mergeCell ref="A2:H2"/>
    <mergeCell ref="B15:H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6600"/>
  </sheetPr>
  <dimension ref="A1:E1000"/>
  <sheetViews>
    <sheetView workbookViewId="0">
      <selection sqref="A1:E1"/>
    </sheetView>
  </sheetViews>
  <sheetFormatPr defaultColWidth="14.44140625" defaultRowHeight="14.4" x14ac:dyDescent="0.3"/>
  <cols>
    <col min="1" max="1" width="24" customWidth="1"/>
    <col min="2" max="2" width="30" customWidth="1"/>
    <col min="3" max="5" width="20" customWidth="1"/>
    <col min="6" max="26" width="8.6640625" customWidth="1"/>
  </cols>
  <sheetData>
    <row r="1" spans="1:5" ht="21" x14ac:dyDescent="0.4">
      <c r="A1" s="22" t="s">
        <v>8</v>
      </c>
      <c r="B1" s="21"/>
      <c r="C1" s="21"/>
      <c r="D1" s="21"/>
      <c r="E1" s="21"/>
    </row>
    <row r="2" spans="1:5" x14ac:dyDescent="0.3">
      <c r="A2" s="23" t="s">
        <v>9</v>
      </c>
      <c r="B2" s="21"/>
      <c r="C2" s="21"/>
      <c r="D2" s="21"/>
      <c r="E2" s="21"/>
    </row>
    <row r="4" spans="1:5" ht="16.8" x14ac:dyDescent="0.3">
      <c r="A4" s="24" t="s">
        <v>10</v>
      </c>
      <c r="B4" s="19"/>
      <c r="C4" s="19"/>
      <c r="D4" s="19"/>
      <c r="E4" s="20"/>
    </row>
    <row r="5" spans="1:5" ht="15.6" customHeight="1" x14ac:dyDescent="0.3">
      <c r="A5" s="1" t="s">
        <v>11</v>
      </c>
      <c r="B5" s="18" t="s">
        <v>12</v>
      </c>
      <c r="C5" s="19"/>
      <c r="D5" s="19"/>
      <c r="E5" s="20"/>
    </row>
    <row r="6" spans="1:5" ht="43.2" customHeight="1" x14ac:dyDescent="0.3">
      <c r="A6" s="1" t="s">
        <v>13</v>
      </c>
      <c r="B6" s="18" t="s">
        <v>14</v>
      </c>
      <c r="C6" s="19"/>
      <c r="D6" s="19"/>
      <c r="E6" s="20"/>
    </row>
    <row r="7" spans="1:5" ht="57.6" customHeight="1" x14ac:dyDescent="0.3">
      <c r="A7" s="1" t="s">
        <v>15</v>
      </c>
      <c r="B7" s="18" t="s">
        <v>16</v>
      </c>
      <c r="C7" s="19"/>
      <c r="D7" s="19"/>
      <c r="E7" s="20"/>
    </row>
    <row r="9" spans="1:5" ht="16.8" x14ac:dyDescent="0.3">
      <c r="A9" s="24" t="s">
        <v>17</v>
      </c>
      <c r="B9" s="19"/>
      <c r="C9" s="19"/>
      <c r="D9" s="19"/>
      <c r="E9" s="20"/>
    </row>
    <row r="10" spans="1:5" ht="57.6" customHeight="1" x14ac:dyDescent="0.3">
      <c r="A10" s="1" t="s">
        <v>18</v>
      </c>
      <c r="B10" s="18" t="s">
        <v>19</v>
      </c>
      <c r="C10" s="19"/>
      <c r="D10" s="19"/>
      <c r="E10" s="20"/>
    </row>
    <row r="11" spans="1:5" ht="43.2" customHeight="1" x14ac:dyDescent="0.3">
      <c r="A11" s="1" t="s">
        <v>20</v>
      </c>
      <c r="B11" s="18" t="s">
        <v>21</v>
      </c>
      <c r="C11" s="19"/>
      <c r="D11" s="19"/>
      <c r="E11" s="20"/>
    </row>
    <row r="12" spans="1:5" ht="43.2" customHeight="1" x14ac:dyDescent="0.3">
      <c r="A12" s="1" t="s">
        <v>22</v>
      </c>
      <c r="B12" s="18" t="s">
        <v>23</v>
      </c>
      <c r="C12" s="19"/>
      <c r="D12" s="19"/>
      <c r="E12" s="20"/>
    </row>
    <row r="13" spans="1:5" ht="43.2" customHeight="1" x14ac:dyDescent="0.3">
      <c r="A13" s="1" t="s">
        <v>24</v>
      </c>
      <c r="B13" s="18" t="s">
        <v>25</v>
      </c>
      <c r="C13" s="19"/>
      <c r="D13" s="19"/>
      <c r="E13" s="20"/>
    </row>
    <row r="14" spans="1:5" ht="43.2" customHeight="1" x14ac:dyDescent="0.3">
      <c r="A14" s="1" t="s">
        <v>26</v>
      </c>
      <c r="B14" s="18" t="s">
        <v>27</v>
      </c>
      <c r="C14" s="19"/>
      <c r="D14" s="19"/>
      <c r="E14" s="20"/>
    </row>
    <row r="15" spans="1:5" ht="57.6" customHeight="1" x14ac:dyDescent="0.3">
      <c r="A15" s="1" t="s">
        <v>28</v>
      </c>
      <c r="B15" s="18" t="s">
        <v>29</v>
      </c>
      <c r="C15" s="19"/>
      <c r="D15" s="19"/>
      <c r="E15" s="20"/>
    </row>
    <row r="16" spans="1:5" ht="43.2" customHeight="1" x14ac:dyDescent="0.3">
      <c r="A16" s="1" t="s">
        <v>30</v>
      </c>
      <c r="B16" s="18" t="s">
        <v>31</v>
      </c>
      <c r="C16" s="19"/>
      <c r="D16" s="19"/>
      <c r="E16" s="20"/>
    </row>
    <row r="17" spans="1:5" ht="57.6" customHeight="1" x14ac:dyDescent="0.3">
      <c r="A17" s="1" t="s">
        <v>32</v>
      </c>
      <c r="B17" s="18" t="s">
        <v>33</v>
      </c>
      <c r="C17" s="19"/>
      <c r="D17" s="19"/>
      <c r="E17" s="20"/>
    </row>
    <row r="18" spans="1:5" ht="43.2" customHeight="1" x14ac:dyDescent="0.3">
      <c r="A18" s="1" t="s">
        <v>34</v>
      </c>
      <c r="B18" s="18" t="s">
        <v>35</v>
      </c>
      <c r="C18" s="19"/>
      <c r="D18" s="19"/>
      <c r="E18" s="20"/>
    </row>
    <row r="20" spans="1:5" ht="16.8" x14ac:dyDescent="0.3">
      <c r="A20" s="24" t="s">
        <v>36</v>
      </c>
      <c r="B20" s="19"/>
      <c r="C20" s="19"/>
      <c r="D20" s="19"/>
      <c r="E20" s="20"/>
    </row>
    <row r="21" spans="1:5" ht="15.6" customHeight="1" x14ac:dyDescent="0.3">
      <c r="A21" s="1" t="s">
        <v>37</v>
      </c>
      <c r="B21" s="18" t="s">
        <v>38</v>
      </c>
      <c r="C21" s="19"/>
      <c r="D21" s="19"/>
      <c r="E21" s="20"/>
    </row>
    <row r="22" spans="1:5" ht="57.6" customHeight="1" x14ac:dyDescent="0.3">
      <c r="A22" s="1" t="s">
        <v>39</v>
      </c>
      <c r="B22" s="18" t="s">
        <v>40</v>
      </c>
      <c r="C22" s="19"/>
      <c r="D22" s="19"/>
      <c r="E22" s="20"/>
    </row>
    <row r="23" spans="1:5" ht="15.6" customHeight="1" x14ac:dyDescent="0.3">
      <c r="A23" s="1" t="s">
        <v>41</v>
      </c>
      <c r="B23" s="18" t="s">
        <v>42</v>
      </c>
      <c r="C23" s="19"/>
      <c r="D23" s="19"/>
      <c r="E23" s="20"/>
    </row>
    <row r="24" spans="1:5" ht="15.6" customHeight="1" x14ac:dyDescent="0.3">
      <c r="A24" s="1" t="s">
        <v>43</v>
      </c>
      <c r="B24" s="18" t="s">
        <v>44</v>
      </c>
      <c r="C24" s="19"/>
      <c r="D24" s="19"/>
      <c r="E24" s="20"/>
    </row>
    <row r="25" spans="1:5" ht="57.6" customHeight="1" x14ac:dyDescent="0.3">
      <c r="A25" s="1" t="s">
        <v>45</v>
      </c>
      <c r="B25" s="18" t="s">
        <v>46</v>
      </c>
      <c r="C25" s="19"/>
      <c r="D25" s="19"/>
      <c r="E25" s="20"/>
    </row>
    <row r="26" spans="1:5" ht="12.6" customHeight="1" x14ac:dyDescent="0.3"/>
    <row r="27" spans="1:5" ht="12.6" customHeight="1" x14ac:dyDescent="0.3">
      <c r="A27" s="24" t="s">
        <v>47</v>
      </c>
      <c r="B27" s="19"/>
      <c r="C27" s="19"/>
      <c r="D27" s="19"/>
      <c r="E27" s="20"/>
    </row>
    <row r="28" spans="1:5" ht="15.6" customHeight="1" x14ac:dyDescent="0.3">
      <c r="A28" s="1" t="s">
        <v>48</v>
      </c>
      <c r="B28" s="18" t="s">
        <v>49</v>
      </c>
      <c r="C28" s="19"/>
      <c r="D28" s="19"/>
      <c r="E28" s="20"/>
    </row>
    <row r="29" spans="1:5" ht="15.6" customHeight="1" x14ac:dyDescent="0.3">
      <c r="A29" s="1" t="s">
        <v>50</v>
      </c>
      <c r="B29" s="18" t="s">
        <v>51</v>
      </c>
      <c r="C29" s="19"/>
      <c r="D29" s="19"/>
      <c r="E29" s="20"/>
    </row>
    <row r="30" spans="1:5" ht="15.6" customHeight="1" x14ac:dyDescent="0.3">
      <c r="A30" s="1" t="s">
        <v>52</v>
      </c>
      <c r="B30" s="18" t="s">
        <v>53</v>
      </c>
      <c r="C30" s="19"/>
      <c r="D30" s="19"/>
      <c r="E30" s="20"/>
    </row>
    <row r="31" spans="1:5" ht="12.6" customHeight="1" x14ac:dyDescent="0.3"/>
    <row r="32" spans="1:5" ht="12.6" customHeight="1" x14ac:dyDescent="0.3"/>
    <row r="33" ht="12.6" customHeight="1" x14ac:dyDescent="0.3"/>
    <row r="34" ht="12.6" customHeight="1" x14ac:dyDescent="0.3"/>
    <row r="35" ht="12.6" customHeight="1" x14ac:dyDescent="0.3"/>
    <row r="36" ht="12.6" customHeight="1" x14ac:dyDescent="0.3"/>
    <row r="37" ht="12.6" customHeight="1" x14ac:dyDescent="0.3"/>
    <row r="38" ht="12.6" customHeight="1" x14ac:dyDescent="0.3"/>
    <row r="39" ht="12.6" customHeight="1" x14ac:dyDescent="0.3"/>
    <row r="40" ht="12.6" customHeight="1" x14ac:dyDescent="0.3"/>
    <row r="41" ht="12.6" customHeight="1" x14ac:dyDescent="0.3"/>
    <row r="42" ht="12.6" customHeight="1" x14ac:dyDescent="0.3"/>
    <row r="43" ht="12.6" customHeight="1" x14ac:dyDescent="0.3"/>
    <row r="44" ht="12.6" customHeight="1" x14ac:dyDescent="0.3"/>
    <row r="45" ht="12.6" customHeight="1" x14ac:dyDescent="0.3"/>
    <row r="46" ht="12.6" customHeight="1" x14ac:dyDescent="0.3"/>
    <row r="47" ht="12.6" customHeight="1" x14ac:dyDescent="0.3"/>
    <row r="48" ht="12.6" customHeight="1" x14ac:dyDescent="0.3"/>
    <row r="49" ht="12.6" customHeight="1" x14ac:dyDescent="0.3"/>
    <row r="50" ht="12.6" customHeight="1" x14ac:dyDescent="0.3"/>
    <row r="51" ht="12.6" customHeight="1" x14ac:dyDescent="0.3"/>
    <row r="52" ht="12.6" customHeight="1" x14ac:dyDescent="0.3"/>
    <row r="53" ht="12.6" customHeight="1" x14ac:dyDescent="0.3"/>
    <row r="54" ht="12.6" customHeight="1" x14ac:dyDescent="0.3"/>
    <row r="55" ht="12.6" customHeight="1" x14ac:dyDescent="0.3"/>
    <row r="56" ht="12.6" customHeight="1" x14ac:dyDescent="0.3"/>
    <row r="57" ht="12.6" customHeight="1" x14ac:dyDescent="0.3"/>
    <row r="58" ht="12.6" customHeight="1" x14ac:dyDescent="0.3"/>
    <row r="59" ht="12.6" customHeight="1" x14ac:dyDescent="0.3"/>
    <row r="60" ht="12.6" customHeight="1" x14ac:dyDescent="0.3"/>
    <row r="61" ht="12.6" customHeight="1" x14ac:dyDescent="0.3"/>
    <row r="62" ht="12.6" customHeight="1" x14ac:dyDescent="0.3"/>
    <row r="63" ht="12.6" customHeight="1" x14ac:dyDescent="0.3"/>
    <row r="64" ht="12.6" customHeight="1" x14ac:dyDescent="0.3"/>
    <row r="65" ht="12.6" customHeight="1" x14ac:dyDescent="0.3"/>
    <row r="66" ht="12.6" customHeight="1" x14ac:dyDescent="0.3"/>
    <row r="67" ht="12.6" customHeight="1" x14ac:dyDescent="0.3"/>
    <row r="68" ht="12.6" customHeight="1" x14ac:dyDescent="0.3"/>
    <row r="69" ht="12.6" customHeight="1" x14ac:dyDescent="0.3"/>
    <row r="70" ht="12.6" customHeight="1" x14ac:dyDescent="0.3"/>
    <row r="71" ht="12.6" customHeight="1" x14ac:dyDescent="0.3"/>
    <row r="72" ht="12.6" customHeight="1" x14ac:dyDescent="0.3"/>
    <row r="73" ht="12.6" customHeight="1" x14ac:dyDescent="0.3"/>
    <row r="74" ht="12.6" customHeight="1" x14ac:dyDescent="0.3"/>
    <row r="75" ht="12.6" customHeight="1" x14ac:dyDescent="0.3"/>
    <row r="76" ht="12.6" customHeight="1" x14ac:dyDescent="0.3"/>
    <row r="77" ht="12.6" customHeight="1" x14ac:dyDescent="0.3"/>
    <row r="78" ht="12.6" customHeight="1" x14ac:dyDescent="0.3"/>
    <row r="79" ht="12.6" customHeight="1" x14ac:dyDescent="0.3"/>
    <row r="80" ht="12.6" customHeight="1" x14ac:dyDescent="0.3"/>
    <row r="81" ht="12.6" customHeight="1" x14ac:dyDescent="0.3"/>
    <row r="82" ht="12.6" customHeight="1" x14ac:dyDescent="0.3"/>
    <row r="83" ht="12.6" customHeight="1" x14ac:dyDescent="0.3"/>
    <row r="84" ht="12.6" customHeight="1" x14ac:dyDescent="0.3"/>
    <row r="85" ht="12.6" customHeight="1" x14ac:dyDescent="0.3"/>
    <row r="86" ht="12.6" customHeight="1" x14ac:dyDescent="0.3"/>
    <row r="87" ht="12.6" customHeight="1" x14ac:dyDescent="0.3"/>
    <row r="88" ht="12.6" customHeight="1" x14ac:dyDescent="0.3"/>
    <row r="89" ht="12.6" customHeight="1" x14ac:dyDescent="0.3"/>
    <row r="90" ht="12.6" customHeight="1" x14ac:dyDescent="0.3"/>
    <row r="91" ht="12.6" customHeight="1" x14ac:dyDescent="0.3"/>
    <row r="92" ht="12.6" customHeight="1" x14ac:dyDescent="0.3"/>
    <row r="93" ht="12.6" customHeight="1" x14ac:dyDescent="0.3"/>
    <row r="94" ht="12.6" customHeight="1" x14ac:dyDescent="0.3"/>
    <row r="95" ht="12.6" customHeight="1" x14ac:dyDescent="0.3"/>
    <row r="96" ht="12.6" customHeight="1" x14ac:dyDescent="0.3"/>
    <row r="97" ht="12.6" customHeight="1" x14ac:dyDescent="0.3"/>
    <row r="98" ht="12.6" customHeight="1" x14ac:dyDescent="0.3"/>
    <row r="99" ht="12.6" customHeight="1" x14ac:dyDescent="0.3"/>
    <row r="100" ht="12.6" customHeight="1" x14ac:dyDescent="0.3"/>
    <row r="101" ht="12.6" customHeight="1" x14ac:dyDescent="0.3"/>
    <row r="102" ht="12.6" customHeight="1" x14ac:dyDescent="0.3"/>
    <row r="103" ht="12.6" customHeight="1" x14ac:dyDescent="0.3"/>
    <row r="104" ht="12.6" customHeight="1" x14ac:dyDescent="0.3"/>
    <row r="105" ht="12.6" customHeight="1" x14ac:dyDescent="0.3"/>
    <row r="106" ht="12.6" customHeight="1" x14ac:dyDescent="0.3"/>
    <row r="107" ht="12.6" customHeight="1" x14ac:dyDescent="0.3"/>
    <row r="108" ht="12.6" customHeight="1" x14ac:dyDescent="0.3"/>
    <row r="109" ht="12.6" customHeight="1" x14ac:dyDescent="0.3"/>
    <row r="110" ht="12.6" customHeight="1" x14ac:dyDescent="0.3"/>
    <row r="111" ht="12.6" customHeight="1" x14ac:dyDescent="0.3"/>
    <row r="112" ht="12.6" customHeight="1" x14ac:dyDescent="0.3"/>
    <row r="113" ht="12.6" customHeight="1" x14ac:dyDescent="0.3"/>
    <row r="114" ht="12.6" customHeight="1" x14ac:dyDescent="0.3"/>
    <row r="115" ht="12.6" customHeight="1" x14ac:dyDescent="0.3"/>
    <row r="116" ht="12.6" customHeight="1" x14ac:dyDescent="0.3"/>
    <row r="117" ht="12.6" customHeight="1" x14ac:dyDescent="0.3"/>
    <row r="118" ht="12.6" customHeight="1" x14ac:dyDescent="0.3"/>
    <row r="119" ht="12.6" customHeight="1" x14ac:dyDescent="0.3"/>
    <row r="120" ht="12.6" customHeight="1" x14ac:dyDescent="0.3"/>
    <row r="121" ht="12.6" customHeight="1" x14ac:dyDescent="0.3"/>
    <row r="122" ht="12.6" customHeight="1" x14ac:dyDescent="0.3"/>
    <row r="123" ht="12.6" customHeight="1" x14ac:dyDescent="0.3"/>
    <row r="124" ht="12.6" customHeight="1" x14ac:dyDescent="0.3"/>
    <row r="125" ht="12.6" customHeight="1" x14ac:dyDescent="0.3"/>
    <row r="126" ht="12.6" customHeight="1" x14ac:dyDescent="0.3"/>
    <row r="127" ht="12.6" customHeight="1" x14ac:dyDescent="0.3"/>
    <row r="128" ht="12.6" customHeight="1" x14ac:dyDescent="0.3"/>
    <row r="129" ht="12.6" customHeight="1" x14ac:dyDescent="0.3"/>
    <row r="130" ht="12.6" customHeight="1" x14ac:dyDescent="0.3"/>
    <row r="131" ht="12.6" customHeight="1" x14ac:dyDescent="0.3"/>
    <row r="132" ht="12.6" customHeight="1" x14ac:dyDescent="0.3"/>
    <row r="133" ht="12.6" customHeight="1" x14ac:dyDescent="0.3"/>
    <row r="134" ht="12.6" customHeight="1" x14ac:dyDescent="0.3"/>
    <row r="135" ht="12.6" customHeight="1" x14ac:dyDescent="0.3"/>
    <row r="136" ht="12.6" customHeight="1" x14ac:dyDescent="0.3"/>
    <row r="137" ht="12.6" customHeight="1" x14ac:dyDescent="0.3"/>
    <row r="138" ht="12.6" customHeight="1" x14ac:dyDescent="0.3"/>
    <row r="139" ht="12.6" customHeight="1" x14ac:dyDescent="0.3"/>
    <row r="140" ht="12.6" customHeight="1" x14ac:dyDescent="0.3"/>
    <row r="141" ht="12.6" customHeight="1" x14ac:dyDescent="0.3"/>
    <row r="142" ht="12.6" customHeight="1" x14ac:dyDescent="0.3"/>
    <row r="143" ht="12.6" customHeight="1" x14ac:dyDescent="0.3"/>
    <row r="144" ht="12.6" customHeight="1" x14ac:dyDescent="0.3"/>
    <row r="145" ht="12.6" customHeight="1" x14ac:dyDescent="0.3"/>
    <row r="146" ht="12.6" customHeight="1" x14ac:dyDescent="0.3"/>
    <row r="147" ht="12.6" customHeight="1" x14ac:dyDescent="0.3"/>
    <row r="148" ht="12.6" customHeight="1" x14ac:dyDescent="0.3"/>
    <row r="149" ht="12.6" customHeight="1" x14ac:dyDescent="0.3"/>
    <row r="150" ht="12.6" customHeight="1" x14ac:dyDescent="0.3"/>
    <row r="151" ht="12.6" customHeight="1" x14ac:dyDescent="0.3"/>
    <row r="152" ht="12.6" customHeight="1" x14ac:dyDescent="0.3"/>
    <row r="153" ht="12.6" customHeight="1" x14ac:dyDescent="0.3"/>
    <row r="154" ht="12.6" customHeight="1" x14ac:dyDescent="0.3"/>
    <row r="155" ht="12.6" customHeight="1" x14ac:dyDescent="0.3"/>
    <row r="156" ht="12.6" customHeight="1" x14ac:dyDescent="0.3"/>
    <row r="157" ht="12.6" customHeight="1" x14ac:dyDescent="0.3"/>
    <row r="158" ht="12.6" customHeight="1" x14ac:dyDescent="0.3"/>
    <row r="159" ht="12.6" customHeight="1" x14ac:dyDescent="0.3"/>
    <row r="160" ht="12.6" customHeight="1" x14ac:dyDescent="0.3"/>
    <row r="161" ht="12.6" customHeight="1" x14ac:dyDescent="0.3"/>
    <row r="162" ht="12.6" customHeight="1" x14ac:dyDescent="0.3"/>
    <row r="163" ht="12.6" customHeight="1" x14ac:dyDescent="0.3"/>
    <row r="164" ht="12.6" customHeight="1" x14ac:dyDescent="0.3"/>
    <row r="165" ht="12.6" customHeight="1" x14ac:dyDescent="0.3"/>
    <row r="166" ht="12.6" customHeight="1" x14ac:dyDescent="0.3"/>
    <row r="167" ht="12.6" customHeight="1" x14ac:dyDescent="0.3"/>
    <row r="168" ht="12.6" customHeight="1" x14ac:dyDescent="0.3"/>
    <row r="169" ht="12.6" customHeight="1" x14ac:dyDescent="0.3"/>
    <row r="170" ht="12.6" customHeight="1" x14ac:dyDescent="0.3"/>
    <row r="171" ht="12.6" customHeight="1" x14ac:dyDescent="0.3"/>
    <row r="172" ht="12.6" customHeight="1" x14ac:dyDescent="0.3"/>
    <row r="173" ht="12.6" customHeight="1" x14ac:dyDescent="0.3"/>
    <row r="174" ht="12.6" customHeight="1" x14ac:dyDescent="0.3"/>
    <row r="175" ht="12.6" customHeight="1" x14ac:dyDescent="0.3"/>
    <row r="176" ht="12.6" customHeight="1" x14ac:dyDescent="0.3"/>
    <row r="177" ht="12.6" customHeight="1" x14ac:dyDescent="0.3"/>
    <row r="178" ht="12.6" customHeight="1" x14ac:dyDescent="0.3"/>
    <row r="179" ht="12.6" customHeight="1" x14ac:dyDescent="0.3"/>
    <row r="180" ht="12.6" customHeight="1" x14ac:dyDescent="0.3"/>
    <row r="181" ht="12.6" customHeight="1" x14ac:dyDescent="0.3"/>
    <row r="182" ht="12.6" customHeight="1" x14ac:dyDescent="0.3"/>
    <row r="183" ht="12.6" customHeight="1" x14ac:dyDescent="0.3"/>
    <row r="184" ht="12.6" customHeight="1" x14ac:dyDescent="0.3"/>
    <row r="185" ht="12.6" customHeight="1" x14ac:dyDescent="0.3"/>
    <row r="186" ht="12.6" customHeight="1" x14ac:dyDescent="0.3"/>
    <row r="187" ht="12.6" customHeight="1" x14ac:dyDescent="0.3"/>
    <row r="188" ht="12.6" customHeight="1" x14ac:dyDescent="0.3"/>
    <row r="189" ht="12.6" customHeight="1" x14ac:dyDescent="0.3"/>
    <row r="190" ht="12.6" customHeight="1" x14ac:dyDescent="0.3"/>
    <row r="191" ht="12.6" customHeight="1" x14ac:dyDescent="0.3"/>
    <row r="192" ht="12.6" customHeight="1" x14ac:dyDescent="0.3"/>
    <row r="193" ht="12.6" customHeight="1" x14ac:dyDescent="0.3"/>
    <row r="194" ht="12.6" customHeight="1" x14ac:dyDescent="0.3"/>
    <row r="195" ht="12.6" customHeight="1" x14ac:dyDescent="0.3"/>
    <row r="196" ht="12.6" customHeight="1" x14ac:dyDescent="0.3"/>
    <row r="197" ht="12.6" customHeight="1" x14ac:dyDescent="0.3"/>
    <row r="198" ht="12.6" customHeight="1" x14ac:dyDescent="0.3"/>
    <row r="199" ht="12.6" customHeight="1" x14ac:dyDescent="0.3"/>
    <row r="200" ht="12.6" customHeight="1" x14ac:dyDescent="0.3"/>
    <row r="201" ht="12.6" customHeight="1" x14ac:dyDescent="0.3"/>
    <row r="202" ht="12.6" customHeight="1" x14ac:dyDescent="0.3"/>
    <row r="203" ht="12.6" customHeight="1" x14ac:dyDescent="0.3"/>
    <row r="204" ht="12.6" customHeight="1" x14ac:dyDescent="0.3"/>
    <row r="205" ht="12.6" customHeight="1" x14ac:dyDescent="0.3"/>
    <row r="206" ht="12.6" customHeight="1" x14ac:dyDescent="0.3"/>
    <row r="207" ht="12.6" customHeight="1" x14ac:dyDescent="0.3"/>
    <row r="208" ht="12.6" customHeight="1" x14ac:dyDescent="0.3"/>
    <row r="209" ht="12.6" customHeight="1" x14ac:dyDescent="0.3"/>
    <row r="210" ht="12.6" customHeight="1" x14ac:dyDescent="0.3"/>
    <row r="211" ht="12.6" customHeight="1" x14ac:dyDescent="0.3"/>
    <row r="212" ht="12.6" customHeight="1" x14ac:dyDescent="0.3"/>
    <row r="213" ht="12.6" customHeight="1" x14ac:dyDescent="0.3"/>
    <row r="214" ht="12.6" customHeight="1" x14ac:dyDescent="0.3"/>
    <row r="215" ht="12.6" customHeight="1" x14ac:dyDescent="0.3"/>
    <row r="216" ht="12.6" customHeight="1" x14ac:dyDescent="0.3"/>
    <row r="217" ht="12.6" customHeight="1" x14ac:dyDescent="0.3"/>
    <row r="218" ht="12.6" customHeight="1" x14ac:dyDescent="0.3"/>
    <row r="219" ht="12.6" customHeight="1" x14ac:dyDescent="0.3"/>
    <row r="220" ht="12.6" customHeight="1" x14ac:dyDescent="0.3"/>
    <row r="221" ht="12.6" customHeight="1" x14ac:dyDescent="0.3"/>
    <row r="222" ht="12.6" customHeight="1" x14ac:dyDescent="0.3"/>
    <row r="223" ht="12.6" customHeight="1" x14ac:dyDescent="0.3"/>
    <row r="224" ht="12.6" customHeight="1" x14ac:dyDescent="0.3"/>
    <row r="225" ht="12.6" customHeight="1" x14ac:dyDescent="0.3"/>
    <row r="226" ht="12.6" customHeight="1" x14ac:dyDescent="0.3"/>
    <row r="227" ht="12.6" customHeight="1" x14ac:dyDescent="0.3"/>
    <row r="228" ht="12.6" customHeight="1" x14ac:dyDescent="0.3"/>
    <row r="229" ht="12.6" customHeight="1" x14ac:dyDescent="0.3"/>
    <row r="230" ht="12.6" customHeight="1" x14ac:dyDescent="0.3"/>
    <row r="231" ht="12.6" customHeight="1" x14ac:dyDescent="0.3"/>
    <row r="232" ht="12.6" customHeight="1" x14ac:dyDescent="0.3"/>
    <row r="233" ht="12.6" customHeight="1" x14ac:dyDescent="0.3"/>
    <row r="234" ht="12.6" customHeight="1" x14ac:dyDescent="0.3"/>
    <row r="235" ht="12.6" customHeight="1" x14ac:dyDescent="0.3"/>
    <row r="236" ht="12.6" customHeight="1" x14ac:dyDescent="0.3"/>
    <row r="237" ht="12.6" customHeight="1" x14ac:dyDescent="0.3"/>
    <row r="238" ht="12.6" customHeight="1" x14ac:dyDescent="0.3"/>
    <row r="239" ht="12.6" customHeight="1" x14ac:dyDescent="0.3"/>
    <row r="240" ht="12.6" customHeight="1" x14ac:dyDescent="0.3"/>
    <row r="241" ht="12.6" customHeight="1" x14ac:dyDescent="0.3"/>
    <row r="242" ht="12.6" customHeight="1" x14ac:dyDescent="0.3"/>
    <row r="243" ht="12.6" customHeight="1" x14ac:dyDescent="0.3"/>
    <row r="244" ht="12.6" customHeight="1" x14ac:dyDescent="0.3"/>
    <row r="245" ht="12.6" customHeight="1" x14ac:dyDescent="0.3"/>
    <row r="246" ht="12.6" customHeight="1" x14ac:dyDescent="0.3"/>
    <row r="247" ht="12.6" customHeight="1" x14ac:dyDescent="0.3"/>
    <row r="248" ht="12.6" customHeight="1" x14ac:dyDescent="0.3"/>
    <row r="249" ht="12.6" customHeight="1" x14ac:dyDescent="0.3"/>
    <row r="250" ht="12.6" customHeight="1" x14ac:dyDescent="0.3"/>
    <row r="251" ht="12.6" customHeight="1" x14ac:dyDescent="0.3"/>
    <row r="252" ht="12.6" customHeight="1" x14ac:dyDescent="0.3"/>
    <row r="253" ht="12.6" customHeight="1" x14ac:dyDescent="0.3"/>
    <row r="254" ht="12.6" customHeight="1" x14ac:dyDescent="0.3"/>
    <row r="255" ht="12.6" customHeight="1" x14ac:dyDescent="0.3"/>
    <row r="256" ht="12.6" customHeight="1" x14ac:dyDescent="0.3"/>
    <row r="257" ht="12.6" customHeight="1" x14ac:dyDescent="0.3"/>
    <row r="258" ht="12.6" customHeight="1" x14ac:dyDescent="0.3"/>
    <row r="259" ht="12.6" customHeight="1" x14ac:dyDescent="0.3"/>
    <row r="260" ht="12.6" customHeight="1" x14ac:dyDescent="0.3"/>
    <row r="261" ht="12.6" customHeight="1" x14ac:dyDescent="0.3"/>
    <row r="262" ht="12.6" customHeight="1" x14ac:dyDescent="0.3"/>
    <row r="263" ht="12.6" customHeight="1" x14ac:dyDescent="0.3"/>
    <row r="264" ht="12.6" customHeight="1" x14ac:dyDescent="0.3"/>
    <row r="265" ht="12.6" customHeight="1" x14ac:dyDescent="0.3"/>
    <row r="266" ht="12.6" customHeight="1" x14ac:dyDescent="0.3"/>
    <row r="267" ht="12.6" customHeight="1" x14ac:dyDescent="0.3"/>
    <row r="268" ht="12.6" customHeight="1" x14ac:dyDescent="0.3"/>
    <row r="269" ht="12.6" customHeight="1" x14ac:dyDescent="0.3"/>
    <row r="270" ht="12.6" customHeight="1" x14ac:dyDescent="0.3"/>
    <row r="271" ht="12.6" customHeight="1" x14ac:dyDescent="0.3"/>
    <row r="272" ht="12.6" customHeight="1" x14ac:dyDescent="0.3"/>
    <row r="273" ht="12.6" customHeight="1" x14ac:dyDescent="0.3"/>
    <row r="274" ht="12.6" customHeight="1" x14ac:dyDescent="0.3"/>
    <row r="275" ht="12.6" customHeight="1" x14ac:dyDescent="0.3"/>
    <row r="276" ht="12.6" customHeight="1" x14ac:dyDescent="0.3"/>
    <row r="277" ht="12.6" customHeight="1" x14ac:dyDescent="0.3"/>
    <row r="278" ht="12.6" customHeight="1" x14ac:dyDescent="0.3"/>
    <row r="279" ht="12.6" customHeight="1" x14ac:dyDescent="0.3"/>
    <row r="280" ht="12.6" customHeight="1" x14ac:dyDescent="0.3"/>
    <row r="281" ht="12.6" customHeight="1" x14ac:dyDescent="0.3"/>
    <row r="282" ht="12.6" customHeight="1" x14ac:dyDescent="0.3"/>
    <row r="283" ht="12.6" customHeight="1" x14ac:dyDescent="0.3"/>
    <row r="284" ht="12.6" customHeight="1" x14ac:dyDescent="0.3"/>
    <row r="285" ht="12.6" customHeight="1" x14ac:dyDescent="0.3"/>
    <row r="286" ht="12.6" customHeight="1" x14ac:dyDescent="0.3"/>
    <row r="287" ht="12.6" customHeight="1" x14ac:dyDescent="0.3"/>
    <row r="288" ht="12.6" customHeight="1" x14ac:dyDescent="0.3"/>
    <row r="289" ht="12.6" customHeight="1" x14ac:dyDescent="0.3"/>
    <row r="290" ht="12.6" customHeight="1" x14ac:dyDescent="0.3"/>
    <row r="291" ht="12.6" customHeight="1" x14ac:dyDescent="0.3"/>
    <row r="292" ht="12.6" customHeight="1" x14ac:dyDescent="0.3"/>
    <row r="293" ht="12.6" customHeight="1" x14ac:dyDescent="0.3"/>
    <row r="294" ht="12.6" customHeight="1" x14ac:dyDescent="0.3"/>
    <row r="295" ht="12.6" customHeight="1" x14ac:dyDescent="0.3"/>
    <row r="296" ht="12.6" customHeight="1" x14ac:dyDescent="0.3"/>
    <row r="297" ht="12.6" customHeight="1" x14ac:dyDescent="0.3"/>
    <row r="298" ht="12.6" customHeight="1" x14ac:dyDescent="0.3"/>
    <row r="299" ht="12.6" customHeight="1" x14ac:dyDescent="0.3"/>
    <row r="300" ht="12.6" customHeight="1" x14ac:dyDescent="0.3"/>
    <row r="301" ht="12.6" customHeight="1" x14ac:dyDescent="0.3"/>
    <row r="302" ht="12.6" customHeight="1" x14ac:dyDescent="0.3"/>
    <row r="303" ht="12.6" customHeight="1" x14ac:dyDescent="0.3"/>
    <row r="304" ht="12.6" customHeight="1" x14ac:dyDescent="0.3"/>
    <row r="305" ht="12.6" customHeight="1" x14ac:dyDescent="0.3"/>
    <row r="306" ht="12.6" customHeight="1" x14ac:dyDescent="0.3"/>
    <row r="307" ht="12.6" customHeight="1" x14ac:dyDescent="0.3"/>
    <row r="308" ht="12.6" customHeight="1" x14ac:dyDescent="0.3"/>
    <row r="309" ht="12.6" customHeight="1" x14ac:dyDescent="0.3"/>
    <row r="310" ht="12.6" customHeight="1" x14ac:dyDescent="0.3"/>
    <row r="311" ht="12.6" customHeight="1" x14ac:dyDescent="0.3"/>
    <row r="312" ht="12.6" customHeight="1" x14ac:dyDescent="0.3"/>
    <row r="313" ht="12.6" customHeight="1" x14ac:dyDescent="0.3"/>
    <row r="314" ht="12.6" customHeight="1" x14ac:dyDescent="0.3"/>
    <row r="315" ht="12.6" customHeight="1" x14ac:dyDescent="0.3"/>
    <row r="316" ht="12.6" customHeight="1" x14ac:dyDescent="0.3"/>
    <row r="317" ht="12.6" customHeight="1" x14ac:dyDescent="0.3"/>
    <row r="318" ht="12.6" customHeight="1" x14ac:dyDescent="0.3"/>
    <row r="319" ht="12.6" customHeight="1" x14ac:dyDescent="0.3"/>
    <row r="320" ht="12.6" customHeight="1" x14ac:dyDescent="0.3"/>
    <row r="321" ht="12.6" customHeight="1" x14ac:dyDescent="0.3"/>
    <row r="322" ht="12.6" customHeight="1" x14ac:dyDescent="0.3"/>
    <row r="323" ht="12.6" customHeight="1" x14ac:dyDescent="0.3"/>
    <row r="324" ht="12.6" customHeight="1" x14ac:dyDescent="0.3"/>
    <row r="325" ht="12.6" customHeight="1" x14ac:dyDescent="0.3"/>
    <row r="326" ht="12.6" customHeight="1" x14ac:dyDescent="0.3"/>
    <row r="327" ht="12.6" customHeight="1" x14ac:dyDescent="0.3"/>
    <row r="328" ht="12.6" customHeight="1" x14ac:dyDescent="0.3"/>
    <row r="329" ht="12.6" customHeight="1" x14ac:dyDescent="0.3"/>
    <row r="330" ht="12.6" customHeight="1" x14ac:dyDescent="0.3"/>
    <row r="331" ht="12.6" customHeight="1" x14ac:dyDescent="0.3"/>
    <row r="332" ht="12.6" customHeight="1" x14ac:dyDescent="0.3"/>
    <row r="333" ht="12.6" customHeight="1" x14ac:dyDescent="0.3"/>
    <row r="334" ht="12.6" customHeight="1" x14ac:dyDescent="0.3"/>
    <row r="335" ht="12.6" customHeight="1" x14ac:dyDescent="0.3"/>
    <row r="336" ht="12.6" customHeight="1" x14ac:dyDescent="0.3"/>
    <row r="337" ht="12.6" customHeight="1" x14ac:dyDescent="0.3"/>
    <row r="338" ht="12.6" customHeight="1" x14ac:dyDescent="0.3"/>
    <row r="339" ht="12.6" customHeight="1" x14ac:dyDescent="0.3"/>
    <row r="340" ht="12.6" customHeight="1" x14ac:dyDescent="0.3"/>
    <row r="341" ht="12.6" customHeight="1" x14ac:dyDescent="0.3"/>
    <row r="342" ht="12.6" customHeight="1" x14ac:dyDescent="0.3"/>
    <row r="343" ht="12.6" customHeight="1" x14ac:dyDescent="0.3"/>
    <row r="344" ht="12.6" customHeight="1" x14ac:dyDescent="0.3"/>
    <row r="345" ht="12.6" customHeight="1" x14ac:dyDescent="0.3"/>
    <row r="346" ht="12.6" customHeight="1" x14ac:dyDescent="0.3"/>
    <row r="347" ht="12.6" customHeight="1" x14ac:dyDescent="0.3"/>
    <row r="348" ht="12.6" customHeight="1" x14ac:dyDescent="0.3"/>
    <row r="349" ht="12.6" customHeight="1" x14ac:dyDescent="0.3"/>
    <row r="350" ht="12.6" customHeight="1" x14ac:dyDescent="0.3"/>
    <row r="351" ht="12.6" customHeight="1" x14ac:dyDescent="0.3"/>
    <row r="352" ht="12.6" customHeight="1" x14ac:dyDescent="0.3"/>
    <row r="353" ht="12.6" customHeight="1" x14ac:dyDescent="0.3"/>
    <row r="354" ht="12.6" customHeight="1" x14ac:dyDescent="0.3"/>
    <row r="355" ht="12.6" customHeight="1" x14ac:dyDescent="0.3"/>
    <row r="356" ht="12.6" customHeight="1" x14ac:dyDescent="0.3"/>
    <row r="357" ht="12.6" customHeight="1" x14ac:dyDescent="0.3"/>
    <row r="358" ht="12.6" customHeight="1" x14ac:dyDescent="0.3"/>
    <row r="359" ht="12.6" customHeight="1" x14ac:dyDescent="0.3"/>
    <row r="360" ht="12.6" customHeight="1" x14ac:dyDescent="0.3"/>
    <row r="361" ht="12.6" customHeight="1" x14ac:dyDescent="0.3"/>
    <row r="362" ht="12.6" customHeight="1" x14ac:dyDescent="0.3"/>
    <row r="363" ht="12.6" customHeight="1" x14ac:dyDescent="0.3"/>
    <row r="364" ht="12.6" customHeight="1" x14ac:dyDescent="0.3"/>
    <row r="365" ht="12.6" customHeight="1" x14ac:dyDescent="0.3"/>
    <row r="366" ht="12.6" customHeight="1" x14ac:dyDescent="0.3"/>
    <row r="367" ht="12.6" customHeight="1" x14ac:dyDescent="0.3"/>
    <row r="368" ht="12.6" customHeight="1" x14ac:dyDescent="0.3"/>
    <row r="369" ht="12.6" customHeight="1" x14ac:dyDescent="0.3"/>
    <row r="370" ht="12.6" customHeight="1" x14ac:dyDescent="0.3"/>
    <row r="371" ht="12.6" customHeight="1" x14ac:dyDescent="0.3"/>
    <row r="372" ht="12.6" customHeight="1" x14ac:dyDescent="0.3"/>
    <row r="373" ht="12.6" customHeight="1" x14ac:dyDescent="0.3"/>
    <row r="374" ht="12.6" customHeight="1" x14ac:dyDescent="0.3"/>
    <row r="375" ht="12.6" customHeight="1" x14ac:dyDescent="0.3"/>
    <row r="376" ht="12.6" customHeight="1" x14ac:dyDescent="0.3"/>
    <row r="377" ht="12.6" customHeight="1" x14ac:dyDescent="0.3"/>
    <row r="378" ht="12.6" customHeight="1" x14ac:dyDescent="0.3"/>
    <row r="379" ht="12.6" customHeight="1" x14ac:dyDescent="0.3"/>
    <row r="380" ht="12.6" customHeight="1" x14ac:dyDescent="0.3"/>
    <row r="381" ht="12.6" customHeight="1" x14ac:dyDescent="0.3"/>
    <row r="382" ht="12.6" customHeight="1" x14ac:dyDescent="0.3"/>
    <row r="383" ht="12.6" customHeight="1" x14ac:dyDescent="0.3"/>
    <row r="384" ht="12.6" customHeight="1" x14ac:dyDescent="0.3"/>
    <row r="385" ht="12.6" customHeight="1" x14ac:dyDescent="0.3"/>
    <row r="386" ht="12.6" customHeight="1" x14ac:dyDescent="0.3"/>
    <row r="387" ht="12.6" customHeight="1" x14ac:dyDescent="0.3"/>
    <row r="388" ht="12.6" customHeight="1" x14ac:dyDescent="0.3"/>
    <row r="389" ht="12.6" customHeight="1" x14ac:dyDescent="0.3"/>
    <row r="390" ht="12.6" customHeight="1" x14ac:dyDescent="0.3"/>
    <row r="391" ht="12.6" customHeight="1" x14ac:dyDescent="0.3"/>
    <row r="392" ht="12.6" customHeight="1" x14ac:dyDescent="0.3"/>
    <row r="393" ht="12.6" customHeight="1" x14ac:dyDescent="0.3"/>
    <row r="394" ht="12.6" customHeight="1" x14ac:dyDescent="0.3"/>
    <row r="395" ht="12.6" customHeight="1" x14ac:dyDescent="0.3"/>
    <row r="396" ht="12.6" customHeight="1" x14ac:dyDescent="0.3"/>
    <row r="397" ht="12.6" customHeight="1" x14ac:dyDescent="0.3"/>
    <row r="398" ht="12.6" customHeight="1" x14ac:dyDescent="0.3"/>
    <row r="399" ht="12.6" customHeight="1" x14ac:dyDescent="0.3"/>
    <row r="400" ht="12.6" customHeight="1" x14ac:dyDescent="0.3"/>
    <row r="401" ht="12.6" customHeight="1" x14ac:dyDescent="0.3"/>
    <row r="402" ht="12.6" customHeight="1" x14ac:dyDescent="0.3"/>
    <row r="403" ht="12.6" customHeight="1" x14ac:dyDescent="0.3"/>
    <row r="404" ht="12.6" customHeight="1" x14ac:dyDescent="0.3"/>
    <row r="405" ht="12.6" customHeight="1" x14ac:dyDescent="0.3"/>
    <row r="406" ht="12.6" customHeight="1" x14ac:dyDescent="0.3"/>
    <row r="407" ht="12.6" customHeight="1" x14ac:dyDescent="0.3"/>
    <row r="408" ht="12.6" customHeight="1" x14ac:dyDescent="0.3"/>
    <row r="409" ht="12.6" customHeight="1" x14ac:dyDescent="0.3"/>
    <row r="410" ht="12.6" customHeight="1" x14ac:dyDescent="0.3"/>
    <row r="411" ht="12.6" customHeight="1" x14ac:dyDescent="0.3"/>
    <row r="412" ht="12.6" customHeight="1" x14ac:dyDescent="0.3"/>
    <row r="413" ht="12.6" customHeight="1" x14ac:dyDescent="0.3"/>
    <row r="414" ht="12.6" customHeight="1" x14ac:dyDescent="0.3"/>
    <row r="415" ht="12.6" customHeight="1" x14ac:dyDescent="0.3"/>
    <row r="416" ht="12.6" customHeight="1" x14ac:dyDescent="0.3"/>
    <row r="417" ht="12.6" customHeight="1" x14ac:dyDescent="0.3"/>
    <row r="418" ht="12.6" customHeight="1" x14ac:dyDescent="0.3"/>
    <row r="419" ht="12.6" customHeight="1" x14ac:dyDescent="0.3"/>
    <row r="420" ht="12.6" customHeight="1" x14ac:dyDescent="0.3"/>
    <row r="421" ht="12.6" customHeight="1" x14ac:dyDescent="0.3"/>
    <row r="422" ht="12.6" customHeight="1" x14ac:dyDescent="0.3"/>
    <row r="423" ht="12.6" customHeight="1" x14ac:dyDescent="0.3"/>
    <row r="424" ht="12.6" customHeight="1" x14ac:dyDescent="0.3"/>
    <row r="425" ht="12.6" customHeight="1" x14ac:dyDescent="0.3"/>
    <row r="426" ht="12.6" customHeight="1" x14ac:dyDescent="0.3"/>
    <row r="427" ht="12.6" customHeight="1" x14ac:dyDescent="0.3"/>
    <row r="428" ht="12.6" customHeight="1" x14ac:dyDescent="0.3"/>
    <row r="429" ht="12.6" customHeight="1" x14ac:dyDescent="0.3"/>
    <row r="430" ht="12.6" customHeight="1" x14ac:dyDescent="0.3"/>
    <row r="431" ht="12.6" customHeight="1" x14ac:dyDescent="0.3"/>
    <row r="432" ht="12.6" customHeight="1" x14ac:dyDescent="0.3"/>
    <row r="433" ht="12.6" customHeight="1" x14ac:dyDescent="0.3"/>
    <row r="434" ht="12.6" customHeight="1" x14ac:dyDescent="0.3"/>
    <row r="435" ht="12.6" customHeight="1" x14ac:dyDescent="0.3"/>
    <row r="436" ht="12.6" customHeight="1" x14ac:dyDescent="0.3"/>
    <row r="437" ht="12.6" customHeight="1" x14ac:dyDescent="0.3"/>
    <row r="438" ht="12.6" customHeight="1" x14ac:dyDescent="0.3"/>
    <row r="439" ht="12.6" customHeight="1" x14ac:dyDescent="0.3"/>
    <row r="440" ht="12.6" customHeight="1" x14ac:dyDescent="0.3"/>
    <row r="441" ht="12.6" customHeight="1" x14ac:dyDescent="0.3"/>
    <row r="442" ht="12.6" customHeight="1" x14ac:dyDescent="0.3"/>
    <row r="443" ht="12.6" customHeight="1" x14ac:dyDescent="0.3"/>
    <row r="444" ht="12.6" customHeight="1" x14ac:dyDescent="0.3"/>
    <row r="445" ht="12.6" customHeight="1" x14ac:dyDescent="0.3"/>
    <row r="446" ht="12.6" customHeight="1" x14ac:dyDescent="0.3"/>
    <row r="447" ht="12.6" customHeight="1" x14ac:dyDescent="0.3"/>
    <row r="448" ht="12.6" customHeight="1" x14ac:dyDescent="0.3"/>
    <row r="449" ht="12.6" customHeight="1" x14ac:dyDescent="0.3"/>
    <row r="450" ht="12.6" customHeight="1" x14ac:dyDescent="0.3"/>
    <row r="451" ht="12.6" customHeight="1" x14ac:dyDescent="0.3"/>
    <row r="452" ht="12.6" customHeight="1" x14ac:dyDescent="0.3"/>
    <row r="453" ht="12.6" customHeight="1" x14ac:dyDescent="0.3"/>
    <row r="454" ht="12.6" customHeight="1" x14ac:dyDescent="0.3"/>
    <row r="455" ht="12.6" customHeight="1" x14ac:dyDescent="0.3"/>
    <row r="456" ht="12.6" customHeight="1" x14ac:dyDescent="0.3"/>
    <row r="457" ht="12.6" customHeight="1" x14ac:dyDescent="0.3"/>
    <row r="458" ht="12.6" customHeight="1" x14ac:dyDescent="0.3"/>
    <row r="459" ht="12.6" customHeight="1" x14ac:dyDescent="0.3"/>
    <row r="460" ht="12.6" customHeight="1" x14ac:dyDescent="0.3"/>
    <row r="461" ht="12.6" customHeight="1" x14ac:dyDescent="0.3"/>
    <row r="462" ht="12.6" customHeight="1" x14ac:dyDescent="0.3"/>
    <row r="463" ht="12.6" customHeight="1" x14ac:dyDescent="0.3"/>
    <row r="464" ht="12.6" customHeight="1" x14ac:dyDescent="0.3"/>
    <row r="465" ht="12.6" customHeight="1" x14ac:dyDescent="0.3"/>
    <row r="466" ht="12.6" customHeight="1" x14ac:dyDescent="0.3"/>
    <row r="467" ht="12.6" customHeight="1" x14ac:dyDescent="0.3"/>
    <row r="468" ht="12.6" customHeight="1" x14ac:dyDescent="0.3"/>
    <row r="469" ht="12.6" customHeight="1" x14ac:dyDescent="0.3"/>
    <row r="470" ht="12.6" customHeight="1" x14ac:dyDescent="0.3"/>
    <row r="471" ht="12.6" customHeight="1" x14ac:dyDescent="0.3"/>
    <row r="472" ht="12.6" customHeight="1" x14ac:dyDescent="0.3"/>
    <row r="473" ht="12.6" customHeight="1" x14ac:dyDescent="0.3"/>
    <row r="474" ht="12.6" customHeight="1" x14ac:dyDescent="0.3"/>
    <row r="475" ht="12.6" customHeight="1" x14ac:dyDescent="0.3"/>
    <row r="476" ht="12.6" customHeight="1" x14ac:dyDescent="0.3"/>
    <row r="477" ht="12.6" customHeight="1" x14ac:dyDescent="0.3"/>
    <row r="478" ht="12.6" customHeight="1" x14ac:dyDescent="0.3"/>
    <row r="479" ht="12.6" customHeight="1" x14ac:dyDescent="0.3"/>
    <row r="480" ht="12.6" customHeight="1" x14ac:dyDescent="0.3"/>
    <row r="481" ht="12.6" customHeight="1" x14ac:dyDescent="0.3"/>
    <row r="482" ht="12.6" customHeight="1" x14ac:dyDescent="0.3"/>
    <row r="483" ht="12.6" customHeight="1" x14ac:dyDescent="0.3"/>
    <row r="484" ht="12.6" customHeight="1" x14ac:dyDescent="0.3"/>
    <row r="485" ht="12.6" customHeight="1" x14ac:dyDescent="0.3"/>
    <row r="486" ht="12.6" customHeight="1" x14ac:dyDescent="0.3"/>
    <row r="487" ht="12.6" customHeight="1" x14ac:dyDescent="0.3"/>
    <row r="488" ht="12.6" customHeight="1" x14ac:dyDescent="0.3"/>
    <row r="489" ht="12.6" customHeight="1" x14ac:dyDescent="0.3"/>
    <row r="490" ht="12.6" customHeight="1" x14ac:dyDescent="0.3"/>
    <row r="491" ht="12.6" customHeight="1" x14ac:dyDescent="0.3"/>
    <row r="492" ht="12.6" customHeight="1" x14ac:dyDescent="0.3"/>
    <row r="493" ht="12.6" customHeight="1" x14ac:dyDescent="0.3"/>
    <row r="494" ht="12.6" customHeight="1" x14ac:dyDescent="0.3"/>
    <row r="495" ht="12.6" customHeight="1" x14ac:dyDescent="0.3"/>
    <row r="496" ht="12.6" customHeight="1" x14ac:dyDescent="0.3"/>
    <row r="497" ht="12.6" customHeight="1" x14ac:dyDescent="0.3"/>
    <row r="498" ht="12.6" customHeight="1" x14ac:dyDescent="0.3"/>
    <row r="499" ht="12.6" customHeight="1" x14ac:dyDescent="0.3"/>
    <row r="500" ht="12.6" customHeight="1" x14ac:dyDescent="0.3"/>
    <row r="501" ht="12.6" customHeight="1" x14ac:dyDescent="0.3"/>
    <row r="502" ht="12.6" customHeight="1" x14ac:dyDescent="0.3"/>
    <row r="503" ht="12.6" customHeight="1" x14ac:dyDescent="0.3"/>
    <row r="504" ht="12.6" customHeight="1" x14ac:dyDescent="0.3"/>
    <row r="505" ht="12.6" customHeight="1" x14ac:dyDescent="0.3"/>
    <row r="506" ht="12.6" customHeight="1" x14ac:dyDescent="0.3"/>
    <row r="507" ht="12.6" customHeight="1" x14ac:dyDescent="0.3"/>
    <row r="508" ht="12.6" customHeight="1" x14ac:dyDescent="0.3"/>
    <row r="509" ht="12.6" customHeight="1" x14ac:dyDescent="0.3"/>
    <row r="510" ht="12.6" customHeight="1" x14ac:dyDescent="0.3"/>
    <row r="511" ht="12.6" customHeight="1" x14ac:dyDescent="0.3"/>
    <row r="512" ht="12.6" customHeight="1" x14ac:dyDescent="0.3"/>
    <row r="513" ht="12.6" customHeight="1" x14ac:dyDescent="0.3"/>
    <row r="514" ht="12.6" customHeight="1" x14ac:dyDescent="0.3"/>
    <row r="515" ht="12.6" customHeight="1" x14ac:dyDescent="0.3"/>
    <row r="516" ht="12.6" customHeight="1" x14ac:dyDescent="0.3"/>
    <row r="517" ht="12.6" customHeight="1" x14ac:dyDescent="0.3"/>
    <row r="518" ht="12.6" customHeight="1" x14ac:dyDescent="0.3"/>
    <row r="519" ht="12.6" customHeight="1" x14ac:dyDescent="0.3"/>
    <row r="520" ht="12.6" customHeight="1" x14ac:dyDescent="0.3"/>
    <row r="521" ht="12.6" customHeight="1" x14ac:dyDescent="0.3"/>
    <row r="522" ht="12.6" customHeight="1" x14ac:dyDescent="0.3"/>
    <row r="523" ht="12.6" customHeight="1" x14ac:dyDescent="0.3"/>
    <row r="524" ht="12.6" customHeight="1" x14ac:dyDescent="0.3"/>
    <row r="525" ht="12.6" customHeight="1" x14ac:dyDescent="0.3"/>
    <row r="526" ht="12.6" customHeight="1" x14ac:dyDescent="0.3"/>
    <row r="527" ht="12.6" customHeight="1" x14ac:dyDescent="0.3"/>
    <row r="528" ht="12.6" customHeight="1" x14ac:dyDescent="0.3"/>
    <row r="529" ht="12.6" customHeight="1" x14ac:dyDescent="0.3"/>
    <row r="530" ht="12.6" customHeight="1" x14ac:dyDescent="0.3"/>
    <row r="531" ht="12.6" customHeight="1" x14ac:dyDescent="0.3"/>
    <row r="532" ht="12.6" customHeight="1" x14ac:dyDescent="0.3"/>
    <row r="533" ht="12.6" customHeight="1" x14ac:dyDescent="0.3"/>
    <row r="534" ht="12.6" customHeight="1" x14ac:dyDescent="0.3"/>
    <row r="535" ht="12.6" customHeight="1" x14ac:dyDescent="0.3"/>
    <row r="536" ht="12.6" customHeight="1" x14ac:dyDescent="0.3"/>
    <row r="537" ht="12.6" customHeight="1" x14ac:dyDescent="0.3"/>
    <row r="538" ht="12.6" customHeight="1" x14ac:dyDescent="0.3"/>
    <row r="539" ht="12.6" customHeight="1" x14ac:dyDescent="0.3"/>
    <row r="540" ht="12.6" customHeight="1" x14ac:dyDescent="0.3"/>
    <row r="541" ht="12.6" customHeight="1" x14ac:dyDescent="0.3"/>
    <row r="542" ht="12.6" customHeight="1" x14ac:dyDescent="0.3"/>
    <row r="543" ht="12.6" customHeight="1" x14ac:dyDescent="0.3"/>
    <row r="544" ht="12.6" customHeight="1" x14ac:dyDescent="0.3"/>
    <row r="545" ht="12.6" customHeight="1" x14ac:dyDescent="0.3"/>
    <row r="546" ht="12.6" customHeight="1" x14ac:dyDescent="0.3"/>
    <row r="547" ht="12.6" customHeight="1" x14ac:dyDescent="0.3"/>
    <row r="548" ht="12.6" customHeight="1" x14ac:dyDescent="0.3"/>
    <row r="549" ht="12.6" customHeight="1" x14ac:dyDescent="0.3"/>
    <row r="550" ht="12.6" customHeight="1" x14ac:dyDescent="0.3"/>
    <row r="551" ht="12.6" customHeight="1" x14ac:dyDescent="0.3"/>
    <row r="552" ht="12.6" customHeight="1" x14ac:dyDescent="0.3"/>
    <row r="553" ht="12.6" customHeight="1" x14ac:dyDescent="0.3"/>
    <row r="554" ht="12.6" customHeight="1" x14ac:dyDescent="0.3"/>
    <row r="555" ht="12.6" customHeight="1" x14ac:dyDescent="0.3"/>
    <row r="556" ht="12.6" customHeight="1" x14ac:dyDescent="0.3"/>
    <row r="557" ht="12.6" customHeight="1" x14ac:dyDescent="0.3"/>
    <row r="558" ht="12.6" customHeight="1" x14ac:dyDescent="0.3"/>
    <row r="559" ht="12.6" customHeight="1" x14ac:dyDescent="0.3"/>
    <row r="560" ht="12.6" customHeight="1" x14ac:dyDescent="0.3"/>
    <row r="561" ht="12.6" customHeight="1" x14ac:dyDescent="0.3"/>
    <row r="562" ht="12.6" customHeight="1" x14ac:dyDescent="0.3"/>
    <row r="563" ht="12.6" customHeight="1" x14ac:dyDescent="0.3"/>
    <row r="564" ht="12.6" customHeight="1" x14ac:dyDescent="0.3"/>
    <row r="565" ht="12.6" customHeight="1" x14ac:dyDescent="0.3"/>
    <row r="566" ht="12.6" customHeight="1" x14ac:dyDescent="0.3"/>
    <row r="567" ht="12.6" customHeight="1" x14ac:dyDescent="0.3"/>
    <row r="568" ht="12.6" customHeight="1" x14ac:dyDescent="0.3"/>
    <row r="569" ht="12.6" customHeight="1" x14ac:dyDescent="0.3"/>
    <row r="570" ht="12.6" customHeight="1" x14ac:dyDescent="0.3"/>
    <row r="571" ht="12.6" customHeight="1" x14ac:dyDescent="0.3"/>
    <row r="572" ht="12.6" customHeight="1" x14ac:dyDescent="0.3"/>
    <row r="573" ht="12.6" customHeight="1" x14ac:dyDescent="0.3"/>
    <row r="574" ht="12.6" customHeight="1" x14ac:dyDescent="0.3"/>
    <row r="575" ht="12.6" customHeight="1" x14ac:dyDescent="0.3"/>
    <row r="576" ht="12.6" customHeight="1" x14ac:dyDescent="0.3"/>
    <row r="577" ht="12.6" customHeight="1" x14ac:dyDescent="0.3"/>
    <row r="578" ht="12.6" customHeight="1" x14ac:dyDescent="0.3"/>
    <row r="579" ht="12.6" customHeight="1" x14ac:dyDescent="0.3"/>
    <row r="580" ht="12.6" customHeight="1" x14ac:dyDescent="0.3"/>
    <row r="581" ht="12.6" customHeight="1" x14ac:dyDescent="0.3"/>
    <row r="582" ht="12.6" customHeight="1" x14ac:dyDescent="0.3"/>
    <row r="583" ht="12.6" customHeight="1" x14ac:dyDescent="0.3"/>
    <row r="584" ht="12.6" customHeight="1" x14ac:dyDescent="0.3"/>
    <row r="585" ht="12.6" customHeight="1" x14ac:dyDescent="0.3"/>
    <row r="586" ht="12.6" customHeight="1" x14ac:dyDescent="0.3"/>
    <row r="587" ht="12.6" customHeight="1" x14ac:dyDescent="0.3"/>
    <row r="588" ht="12.6" customHeight="1" x14ac:dyDescent="0.3"/>
    <row r="589" ht="12.6" customHeight="1" x14ac:dyDescent="0.3"/>
    <row r="590" ht="12.6" customHeight="1" x14ac:dyDescent="0.3"/>
    <row r="591" ht="12.6" customHeight="1" x14ac:dyDescent="0.3"/>
    <row r="592" ht="12.6" customHeight="1" x14ac:dyDescent="0.3"/>
    <row r="593" ht="12.6" customHeight="1" x14ac:dyDescent="0.3"/>
    <row r="594" ht="12.6" customHeight="1" x14ac:dyDescent="0.3"/>
    <row r="595" ht="12.6" customHeight="1" x14ac:dyDescent="0.3"/>
    <row r="596" ht="12.6" customHeight="1" x14ac:dyDescent="0.3"/>
    <row r="597" ht="12.6" customHeight="1" x14ac:dyDescent="0.3"/>
    <row r="598" ht="12.6" customHeight="1" x14ac:dyDescent="0.3"/>
    <row r="599" ht="12.6" customHeight="1" x14ac:dyDescent="0.3"/>
    <row r="600" ht="12.6" customHeight="1" x14ac:dyDescent="0.3"/>
    <row r="601" ht="12.6" customHeight="1" x14ac:dyDescent="0.3"/>
    <row r="602" ht="12.6" customHeight="1" x14ac:dyDescent="0.3"/>
    <row r="603" ht="12.6" customHeight="1" x14ac:dyDescent="0.3"/>
    <row r="604" ht="12.6" customHeight="1" x14ac:dyDescent="0.3"/>
    <row r="605" ht="12.6" customHeight="1" x14ac:dyDescent="0.3"/>
    <row r="606" ht="12.6" customHeight="1" x14ac:dyDescent="0.3"/>
    <row r="607" ht="12.6" customHeight="1" x14ac:dyDescent="0.3"/>
    <row r="608" ht="12.6" customHeight="1" x14ac:dyDescent="0.3"/>
    <row r="609" ht="12.6" customHeight="1" x14ac:dyDescent="0.3"/>
    <row r="610" ht="12.6" customHeight="1" x14ac:dyDescent="0.3"/>
    <row r="611" ht="12.6" customHeight="1" x14ac:dyDescent="0.3"/>
    <row r="612" ht="12.6" customHeight="1" x14ac:dyDescent="0.3"/>
    <row r="613" ht="12.6" customHeight="1" x14ac:dyDescent="0.3"/>
    <row r="614" ht="12.6" customHeight="1" x14ac:dyDescent="0.3"/>
    <row r="615" ht="12.6" customHeight="1" x14ac:dyDescent="0.3"/>
    <row r="616" ht="12.6" customHeight="1" x14ac:dyDescent="0.3"/>
    <row r="617" ht="12.6" customHeight="1" x14ac:dyDescent="0.3"/>
    <row r="618" ht="12.6" customHeight="1" x14ac:dyDescent="0.3"/>
    <row r="619" ht="12.6" customHeight="1" x14ac:dyDescent="0.3"/>
    <row r="620" ht="12.6" customHeight="1" x14ac:dyDescent="0.3"/>
    <row r="621" ht="12.6" customHeight="1" x14ac:dyDescent="0.3"/>
    <row r="622" ht="12.6" customHeight="1" x14ac:dyDescent="0.3"/>
    <row r="623" ht="12.6" customHeight="1" x14ac:dyDescent="0.3"/>
    <row r="624" ht="12.6" customHeight="1" x14ac:dyDescent="0.3"/>
    <row r="625" ht="12.6" customHeight="1" x14ac:dyDescent="0.3"/>
    <row r="626" ht="12.6" customHeight="1" x14ac:dyDescent="0.3"/>
    <row r="627" ht="12.6" customHeight="1" x14ac:dyDescent="0.3"/>
    <row r="628" ht="12.6" customHeight="1" x14ac:dyDescent="0.3"/>
    <row r="629" ht="12.6" customHeight="1" x14ac:dyDescent="0.3"/>
    <row r="630" ht="12.6" customHeight="1" x14ac:dyDescent="0.3"/>
    <row r="631" ht="12.6" customHeight="1" x14ac:dyDescent="0.3"/>
    <row r="632" ht="12.6" customHeight="1" x14ac:dyDescent="0.3"/>
    <row r="633" ht="12.6" customHeight="1" x14ac:dyDescent="0.3"/>
    <row r="634" ht="12.6" customHeight="1" x14ac:dyDescent="0.3"/>
    <row r="635" ht="12.6" customHeight="1" x14ac:dyDescent="0.3"/>
    <row r="636" ht="12.6" customHeight="1" x14ac:dyDescent="0.3"/>
    <row r="637" ht="12.6" customHeight="1" x14ac:dyDescent="0.3"/>
    <row r="638" ht="12.6" customHeight="1" x14ac:dyDescent="0.3"/>
    <row r="639" ht="12.6" customHeight="1" x14ac:dyDescent="0.3"/>
    <row r="640" ht="12.6" customHeight="1" x14ac:dyDescent="0.3"/>
    <row r="641" ht="12.6" customHeight="1" x14ac:dyDescent="0.3"/>
    <row r="642" ht="12.6" customHeight="1" x14ac:dyDescent="0.3"/>
    <row r="643" ht="12.6" customHeight="1" x14ac:dyDescent="0.3"/>
    <row r="644" ht="12.6" customHeight="1" x14ac:dyDescent="0.3"/>
    <row r="645" ht="12.6" customHeight="1" x14ac:dyDescent="0.3"/>
    <row r="646" ht="12.6" customHeight="1" x14ac:dyDescent="0.3"/>
    <row r="647" ht="12.6" customHeight="1" x14ac:dyDescent="0.3"/>
    <row r="648" ht="12.6" customHeight="1" x14ac:dyDescent="0.3"/>
    <row r="649" ht="12.6" customHeight="1" x14ac:dyDescent="0.3"/>
    <row r="650" ht="12.6" customHeight="1" x14ac:dyDescent="0.3"/>
    <row r="651" ht="12.6" customHeight="1" x14ac:dyDescent="0.3"/>
    <row r="652" ht="12.6" customHeight="1" x14ac:dyDescent="0.3"/>
    <row r="653" ht="12.6" customHeight="1" x14ac:dyDescent="0.3"/>
    <row r="654" ht="12.6" customHeight="1" x14ac:dyDescent="0.3"/>
    <row r="655" ht="12.6" customHeight="1" x14ac:dyDescent="0.3"/>
    <row r="656" ht="12.6" customHeight="1" x14ac:dyDescent="0.3"/>
    <row r="657" ht="12.6" customHeight="1" x14ac:dyDescent="0.3"/>
    <row r="658" ht="12.6" customHeight="1" x14ac:dyDescent="0.3"/>
    <row r="659" ht="12.6" customHeight="1" x14ac:dyDescent="0.3"/>
    <row r="660" ht="12.6" customHeight="1" x14ac:dyDescent="0.3"/>
    <row r="661" ht="12.6" customHeight="1" x14ac:dyDescent="0.3"/>
    <row r="662" ht="12.6" customHeight="1" x14ac:dyDescent="0.3"/>
    <row r="663" ht="12.6" customHeight="1" x14ac:dyDescent="0.3"/>
    <row r="664" ht="12.6" customHeight="1" x14ac:dyDescent="0.3"/>
    <row r="665" ht="12.6" customHeight="1" x14ac:dyDescent="0.3"/>
    <row r="666" ht="12.6" customHeight="1" x14ac:dyDescent="0.3"/>
    <row r="667" ht="12.6" customHeight="1" x14ac:dyDescent="0.3"/>
    <row r="668" ht="12.6" customHeight="1" x14ac:dyDescent="0.3"/>
    <row r="669" ht="12.6" customHeight="1" x14ac:dyDescent="0.3"/>
    <row r="670" ht="12.6" customHeight="1" x14ac:dyDescent="0.3"/>
    <row r="671" ht="12.6" customHeight="1" x14ac:dyDescent="0.3"/>
    <row r="672" ht="12.6" customHeight="1" x14ac:dyDescent="0.3"/>
    <row r="673" ht="12.6" customHeight="1" x14ac:dyDescent="0.3"/>
    <row r="674" ht="12.6" customHeight="1" x14ac:dyDescent="0.3"/>
    <row r="675" ht="12.6" customHeight="1" x14ac:dyDescent="0.3"/>
    <row r="676" ht="12.6" customHeight="1" x14ac:dyDescent="0.3"/>
    <row r="677" ht="12.6" customHeight="1" x14ac:dyDescent="0.3"/>
    <row r="678" ht="12.6" customHeight="1" x14ac:dyDescent="0.3"/>
    <row r="679" ht="12.6" customHeight="1" x14ac:dyDescent="0.3"/>
    <row r="680" ht="12.6" customHeight="1" x14ac:dyDescent="0.3"/>
    <row r="681" ht="12.6" customHeight="1" x14ac:dyDescent="0.3"/>
    <row r="682" ht="12.6" customHeight="1" x14ac:dyDescent="0.3"/>
    <row r="683" ht="12.6" customHeight="1" x14ac:dyDescent="0.3"/>
    <row r="684" ht="12.6" customHeight="1" x14ac:dyDescent="0.3"/>
    <row r="685" ht="12.6" customHeight="1" x14ac:dyDescent="0.3"/>
    <row r="686" ht="12.6" customHeight="1" x14ac:dyDescent="0.3"/>
    <row r="687" ht="12.6" customHeight="1" x14ac:dyDescent="0.3"/>
    <row r="688" ht="12.6" customHeight="1" x14ac:dyDescent="0.3"/>
    <row r="689" ht="12.6" customHeight="1" x14ac:dyDescent="0.3"/>
    <row r="690" ht="12.6" customHeight="1" x14ac:dyDescent="0.3"/>
    <row r="691" ht="12.6" customHeight="1" x14ac:dyDescent="0.3"/>
    <row r="692" ht="12.6" customHeight="1" x14ac:dyDescent="0.3"/>
    <row r="693" ht="12.6" customHeight="1" x14ac:dyDescent="0.3"/>
    <row r="694" ht="12.6" customHeight="1" x14ac:dyDescent="0.3"/>
    <row r="695" ht="12.6" customHeight="1" x14ac:dyDescent="0.3"/>
    <row r="696" ht="12.6" customHeight="1" x14ac:dyDescent="0.3"/>
    <row r="697" ht="12.6" customHeight="1" x14ac:dyDescent="0.3"/>
    <row r="698" ht="12.6" customHeight="1" x14ac:dyDescent="0.3"/>
    <row r="699" ht="12.6" customHeight="1" x14ac:dyDescent="0.3"/>
    <row r="700" ht="12.6" customHeight="1" x14ac:dyDescent="0.3"/>
    <row r="701" ht="12.6" customHeight="1" x14ac:dyDescent="0.3"/>
    <row r="702" ht="12.6" customHeight="1" x14ac:dyDescent="0.3"/>
    <row r="703" ht="12.6" customHeight="1" x14ac:dyDescent="0.3"/>
    <row r="704" ht="12.6" customHeight="1" x14ac:dyDescent="0.3"/>
    <row r="705" ht="12.6" customHeight="1" x14ac:dyDescent="0.3"/>
    <row r="706" ht="12.6" customHeight="1" x14ac:dyDescent="0.3"/>
    <row r="707" ht="12.6" customHeight="1" x14ac:dyDescent="0.3"/>
    <row r="708" ht="12.6" customHeight="1" x14ac:dyDescent="0.3"/>
    <row r="709" ht="12.6" customHeight="1" x14ac:dyDescent="0.3"/>
    <row r="710" ht="12.6" customHeight="1" x14ac:dyDescent="0.3"/>
    <row r="711" ht="12.6" customHeight="1" x14ac:dyDescent="0.3"/>
    <row r="712" ht="12.6" customHeight="1" x14ac:dyDescent="0.3"/>
    <row r="713" ht="12.6" customHeight="1" x14ac:dyDescent="0.3"/>
    <row r="714" ht="12.6" customHeight="1" x14ac:dyDescent="0.3"/>
    <row r="715" ht="12.6" customHeight="1" x14ac:dyDescent="0.3"/>
    <row r="716" ht="12.6" customHeight="1" x14ac:dyDescent="0.3"/>
    <row r="717" ht="12.6" customHeight="1" x14ac:dyDescent="0.3"/>
    <row r="718" ht="12.6" customHeight="1" x14ac:dyDescent="0.3"/>
    <row r="719" ht="12.6" customHeight="1" x14ac:dyDescent="0.3"/>
    <row r="720" ht="12.6" customHeight="1" x14ac:dyDescent="0.3"/>
    <row r="721" ht="12.6" customHeight="1" x14ac:dyDescent="0.3"/>
    <row r="722" ht="12.6" customHeight="1" x14ac:dyDescent="0.3"/>
    <row r="723" ht="12.6" customHeight="1" x14ac:dyDescent="0.3"/>
    <row r="724" ht="12.6" customHeight="1" x14ac:dyDescent="0.3"/>
    <row r="725" ht="12.6" customHeight="1" x14ac:dyDescent="0.3"/>
    <row r="726" ht="12.6" customHeight="1" x14ac:dyDescent="0.3"/>
    <row r="727" ht="12.6" customHeight="1" x14ac:dyDescent="0.3"/>
    <row r="728" ht="12.6" customHeight="1" x14ac:dyDescent="0.3"/>
    <row r="729" ht="12.6" customHeight="1" x14ac:dyDescent="0.3"/>
    <row r="730" ht="12.6" customHeight="1" x14ac:dyDescent="0.3"/>
    <row r="731" ht="12.6" customHeight="1" x14ac:dyDescent="0.3"/>
    <row r="732" ht="12.6" customHeight="1" x14ac:dyDescent="0.3"/>
    <row r="733" ht="12.6" customHeight="1" x14ac:dyDescent="0.3"/>
    <row r="734" ht="12.6" customHeight="1" x14ac:dyDescent="0.3"/>
    <row r="735" ht="12.6" customHeight="1" x14ac:dyDescent="0.3"/>
    <row r="736" ht="12.6" customHeight="1" x14ac:dyDescent="0.3"/>
    <row r="737" ht="12.6" customHeight="1" x14ac:dyDescent="0.3"/>
    <row r="738" ht="12.6" customHeight="1" x14ac:dyDescent="0.3"/>
    <row r="739" ht="12.6" customHeight="1" x14ac:dyDescent="0.3"/>
    <row r="740" ht="12.6" customHeight="1" x14ac:dyDescent="0.3"/>
    <row r="741" ht="12.6" customHeight="1" x14ac:dyDescent="0.3"/>
    <row r="742" ht="12.6" customHeight="1" x14ac:dyDescent="0.3"/>
    <row r="743" ht="12.6" customHeight="1" x14ac:dyDescent="0.3"/>
    <row r="744" ht="12.6" customHeight="1" x14ac:dyDescent="0.3"/>
    <row r="745" ht="12.6" customHeight="1" x14ac:dyDescent="0.3"/>
    <row r="746" ht="12.6" customHeight="1" x14ac:dyDescent="0.3"/>
    <row r="747" ht="12.6" customHeight="1" x14ac:dyDescent="0.3"/>
    <row r="748" ht="12.6" customHeight="1" x14ac:dyDescent="0.3"/>
    <row r="749" ht="12.6" customHeight="1" x14ac:dyDescent="0.3"/>
    <row r="750" ht="12.6" customHeight="1" x14ac:dyDescent="0.3"/>
    <row r="751" ht="12.6" customHeight="1" x14ac:dyDescent="0.3"/>
    <row r="752" ht="12.6" customHeight="1" x14ac:dyDescent="0.3"/>
    <row r="753" ht="12.6" customHeight="1" x14ac:dyDescent="0.3"/>
    <row r="754" ht="12.6" customHeight="1" x14ac:dyDescent="0.3"/>
    <row r="755" ht="12.6" customHeight="1" x14ac:dyDescent="0.3"/>
    <row r="756" ht="12.6" customHeight="1" x14ac:dyDescent="0.3"/>
    <row r="757" ht="12.6" customHeight="1" x14ac:dyDescent="0.3"/>
    <row r="758" ht="12.6" customHeight="1" x14ac:dyDescent="0.3"/>
    <row r="759" ht="12.6" customHeight="1" x14ac:dyDescent="0.3"/>
    <row r="760" ht="12.6" customHeight="1" x14ac:dyDescent="0.3"/>
    <row r="761" ht="12.6" customHeight="1" x14ac:dyDescent="0.3"/>
    <row r="762" ht="12.6" customHeight="1" x14ac:dyDescent="0.3"/>
    <row r="763" ht="12.6" customHeight="1" x14ac:dyDescent="0.3"/>
    <row r="764" ht="12.6" customHeight="1" x14ac:dyDescent="0.3"/>
    <row r="765" ht="12.6" customHeight="1" x14ac:dyDescent="0.3"/>
    <row r="766" ht="12.6" customHeight="1" x14ac:dyDescent="0.3"/>
    <row r="767" ht="12.6" customHeight="1" x14ac:dyDescent="0.3"/>
    <row r="768" ht="12.6" customHeight="1" x14ac:dyDescent="0.3"/>
    <row r="769" ht="12.6" customHeight="1" x14ac:dyDescent="0.3"/>
    <row r="770" ht="12.6" customHeight="1" x14ac:dyDescent="0.3"/>
    <row r="771" ht="12.6" customHeight="1" x14ac:dyDescent="0.3"/>
    <row r="772" ht="12.6" customHeight="1" x14ac:dyDescent="0.3"/>
    <row r="773" ht="12.6" customHeight="1" x14ac:dyDescent="0.3"/>
    <row r="774" ht="12.6" customHeight="1" x14ac:dyDescent="0.3"/>
    <row r="775" ht="12.6" customHeight="1" x14ac:dyDescent="0.3"/>
    <row r="776" ht="12.6" customHeight="1" x14ac:dyDescent="0.3"/>
    <row r="777" ht="12.6" customHeight="1" x14ac:dyDescent="0.3"/>
    <row r="778" ht="12.6" customHeight="1" x14ac:dyDescent="0.3"/>
    <row r="779" ht="12.6" customHeight="1" x14ac:dyDescent="0.3"/>
    <row r="780" ht="12.6" customHeight="1" x14ac:dyDescent="0.3"/>
    <row r="781" ht="12.6" customHeight="1" x14ac:dyDescent="0.3"/>
    <row r="782" ht="12.6" customHeight="1" x14ac:dyDescent="0.3"/>
    <row r="783" ht="12.6" customHeight="1" x14ac:dyDescent="0.3"/>
    <row r="784" ht="12.6" customHeight="1" x14ac:dyDescent="0.3"/>
    <row r="785" ht="12.6" customHeight="1" x14ac:dyDescent="0.3"/>
    <row r="786" ht="12.6" customHeight="1" x14ac:dyDescent="0.3"/>
    <row r="787" ht="12.6" customHeight="1" x14ac:dyDescent="0.3"/>
    <row r="788" ht="12.6" customHeight="1" x14ac:dyDescent="0.3"/>
    <row r="789" ht="12.6" customHeight="1" x14ac:dyDescent="0.3"/>
    <row r="790" ht="12.6" customHeight="1" x14ac:dyDescent="0.3"/>
    <row r="791" ht="12.6" customHeight="1" x14ac:dyDescent="0.3"/>
    <row r="792" ht="12.6" customHeight="1" x14ac:dyDescent="0.3"/>
    <row r="793" ht="12.6" customHeight="1" x14ac:dyDescent="0.3"/>
    <row r="794" ht="12.6" customHeight="1" x14ac:dyDescent="0.3"/>
    <row r="795" ht="12.6" customHeight="1" x14ac:dyDescent="0.3"/>
    <row r="796" ht="12.6" customHeight="1" x14ac:dyDescent="0.3"/>
    <row r="797" ht="12.6" customHeight="1" x14ac:dyDescent="0.3"/>
    <row r="798" ht="12.6" customHeight="1" x14ac:dyDescent="0.3"/>
    <row r="799" ht="12.6" customHeight="1" x14ac:dyDescent="0.3"/>
    <row r="800" ht="12.6" customHeight="1" x14ac:dyDescent="0.3"/>
    <row r="801" ht="12.6" customHeight="1" x14ac:dyDescent="0.3"/>
    <row r="802" ht="12.6" customHeight="1" x14ac:dyDescent="0.3"/>
    <row r="803" ht="12.6" customHeight="1" x14ac:dyDescent="0.3"/>
    <row r="804" ht="12.6" customHeight="1" x14ac:dyDescent="0.3"/>
    <row r="805" ht="12.6" customHeight="1" x14ac:dyDescent="0.3"/>
    <row r="806" ht="12.6" customHeight="1" x14ac:dyDescent="0.3"/>
    <row r="807" ht="12.6" customHeight="1" x14ac:dyDescent="0.3"/>
    <row r="808" ht="12.6" customHeight="1" x14ac:dyDescent="0.3"/>
    <row r="809" ht="12.6" customHeight="1" x14ac:dyDescent="0.3"/>
    <row r="810" ht="12.6" customHeight="1" x14ac:dyDescent="0.3"/>
    <row r="811" ht="12.6" customHeight="1" x14ac:dyDescent="0.3"/>
    <row r="812" ht="12.6" customHeight="1" x14ac:dyDescent="0.3"/>
    <row r="813" ht="12.6" customHeight="1" x14ac:dyDescent="0.3"/>
    <row r="814" ht="12.6" customHeight="1" x14ac:dyDescent="0.3"/>
    <row r="815" ht="12.6" customHeight="1" x14ac:dyDescent="0.3"/>
    <row r="816" ht="12.6" customHeight="1" x14ac:dyDescent="0.3"/>
    <row r="817" ht="12.6" customHeight="1" x14ac:dyDescent="0.3"/>
    <row r="818" ht="12.6" customHeight="1" x14ac:dyDescent="0.3"/>
    <row r="819" ht="12.6" customHeight="1" x14ac:dyDescent="0.3"/>
    <row r="820" ht="12.6" customHeight="1" x14ac:dyDescent="0.3"/>
    <row r="821" ht="12.6" customHeight="1" x14ac:dyDescent="0.3"/>
    <row r="822" ht="12.6" customHeight="1" x14ac:dyDescent="0.3"/>
    <row r="823" ht="12.6" customHeight="1" x14ac:dyDescent="0.3"/>
    <row r="824" ht="12.6" customHeight="1" x14ac:dyDescent="0.3"/>
    <row r="825" ht="12.6" customHeight="1" x14ac:dyDescent="0.3"/>
    <row r="826" ht="12.6" customHeight="1" x14ac:dyDescent="0.3"/>
    <row r="827" ht="12.6" customHeight="1" x14ac:dyDescent="0.3"/>
    <row r="828" ht="12.6" customHeight="1" x14ac:dyDescent="0.3"/>
    <row r="829" ht="12.6" customHeight="1" x14ac:dyDescent="0.3"/>
    <row r="830" ht="12.6" customHeight="1" x14ac:dyDescent="0.3"/>
    <row r="831" ht="12.6" customHeight="1" x14ac:dyDescent="0.3"/>
    <row r="832" ht="12.6" customHeight="1" x14ac:dyDescent="0.3"/>
    <row r="833" ht="12.6" customHeight="1" x14ac:dyDescent="0.3"/>
    <row r="834" ht="12.6" customHeight="1" x14ac:dyDescent="0.3"/>
    <row r="835" ht="12.6" customHeight="1" x14ac:dyDescent="0.3"/>
    <row r="836" ht="12.6" customHeight="1" x14ac:dyDescent="0.3"/>
    <row r="837" ht="12.6" customHeight="1" x14ac:dyDescent="0.3"/>
    <row r="838" ht="12.6" customHeight="1" x14ac:dyDescent="0.3"/>
    <row r="839" ht="12.6" customHeight="1" x14ac:dyDescent="0.3"/>
    <row r="840" ht="12.6" customHeight="1" x14ac:dyDescent="0.3"/>
    <row r="841" ht="12.6" customHeight="1" x14ac:dyDescent="0.3"/>
    <row r="842" ht="12.6" customHeight="1" x14ac:dyDescent="0.3"/>
    <row r="843" ht="12.6" customHeight="1" x14ac:dyDescent="0.3"/>
    <row r="844" ht="12.6" customHeight="1" x14ac:dyDescent="0.3"/>
    <row r="845" ht="12.6" customHeight="1" x14ac:dyDescent="0.3"/>
    <row r="846" ht="12.6" customHeight="1" x14ac:dyDescent="0.3"/>
    <row r="847" ht="12.6" customHeight="1" x14ac:dyDescent="0.3"/>
    <row r="848" ht="12.6" customHeight="1" x14ac:dyDescent="0.3"/>
    <row r="849" ht="12.6" customHeight="1" x14ac:dyDescent="0.3"/>
    <row r="850" ht="12.6" customHeight="1" x14ac:dyDescent="0.3"/>
    <row r="851" ht="12.6" customHeight="1" x14ac:dyDescent="0.3"/>
    <row r="852" ht="12.6" customHeight="1" x14ac:dyDescent="0.3"/>
    <row r="853" ht="12.6" customHeight="1" x14ac:dyDescent="0.3"/>
    <row r="854" ht="12.6" customHeight="1" x14ac:dyDescent="0.3"/>
    <row r="855" ht="12.6" customHeight="1" x14ac:dyDescent="0.3"/>
    <row r="856" ht="12.6" customHeight="1" x14ac:dyDescent="0.3"/>
    <row r="857" ht="12.6" customHeight="1" x14ac:dyDescent="0.3"/>
    <row r="858" ht="12.6" customHeight="1" x14ac:dyDescent="0.3"/>
    <row r="859" ht="12.6" customHeight="1" x14ac:dyDescent="0.3"/>
    <row r="860" ht="12.6" customHeight="1" x14ac:dyDescent="0.3"/>
    <row r="861" ht="12.6" customHeight="1" x14ac:dyDescent="0.3"/>
    <row r="862" ht="12.6" customHeight="1" x14ac:dyDescent="0.3"/>
    <row r="863" ht="12.6" customHeight="1" x14ac:dyDescent="0.3"/>
    <row r="864" ht="12.6" customHeight="1" x14ac:dyDescent="0.3"/>
    <row r="865" ht="12.6" customHeight="1" x14ac:dyDescent="0.3"/>
    <row r="866" ht="12.6" customHeight="1" x14ac:dyDescent="0.3"/>
    <row r="867" ht="12.6" customHeight="1" x14ac:dyDescent="0.3"/>
    <row r="868" ht="12.6" customHeight="1" x14ac:dyDescent="0.3"/>
    <row r="869" ht="12.6" customHeight="1" x14ac:dyDescent="0.3"/>
    <row r="870" ht="12.6" customHeight="1" x14ac:dyDescent="0.3"/>
    <row r="871" ht="12.6" customHeight="1" x14ac:dyDescent="0.3"/>
    <row r="872" ht="12.6" customHeight="1" x14ac:dyDescent="0.3"/>
    <row r="873" ht="12.6" customHeight="1" x14ac:dyDescent="0.3"/>
    <row r="874" ht="12.6" customHeight="1" x14ac:dyDescent="0.3"/>
    <row r="875" ht="12.6" customHeight="1" x14ac:dyDescent="0.3"/>
    <row r="876" ht="12.6" customHeight="1" x14ac:dyDescent="0.3"/>
    <row r="877" ht="12.6" customHeight="1" x14ac:dyDescent="0.3"/>
    <row r="878" ht="12.6" customHeight="1" x14ac:dyDescent="0.3"/>
    <row r="879" ht="12.6" customHeight="1" x14ac:dyDescent="0.3"/>
    <row r="880" ht="12.6" customHeight="1" x14ac:dyDescent="0.3"/>
    <row r="881" ht="12.6" customHeight="1" x14ac:dyDescent="0.3"/>
    <row r="882" ht="12.6" customHeight="1" x14ac:dyDescent="0.3"/>
    <row r="883" ht="12.6" customHeight="1" x14ac:dyDescent="0.3"/>
    <row r="884" ht="12.6" customHeight="1" x14ac:dyDescent="0.3"/>
    <row r="885" ht="12.6" customHeight="1" x14ac:dyDescent="0.3"/>
    <row r="886" ht="12.6" customHeight="1" x14ac:dyDescent="0.3"/>
    <row r="887" ht="12.6" customHeight="1" x14ac:dyDescent="0.3"/>
    <row r="888" ht="12.6" customHeight="1" x14ac:dyDescent="0.3"/>
    <row r="889" ht="12.6" customHeight="1" x14ac:dyDescent="0.3"/>
    <row r="890" ht="12.6" customHeight="1" x14ac:dyDescent="0.3"/>
    <row r="891" ht="12.6" customHeight="1" x14ac:dyDescent="0.3"/>
    <row r="892" ht="12.6" customHeight="1" x14ac:dyDescent="0.3"/>
    <row r="893" ht="12.6" customHeight="1" x14ac:dyDescent="0.3"/>
    <row r="894" ht="12.6" customHeight="1" x14ac:dyDescent="0.3"/>
    <row r="895" ht="12.6" customHeight="1" x14ac:dyDescent="0.3"/>
    <row r="896" ht="12.6" customHeight="1" x14ac:dyDescent="0.3"/>
    <row r="897" ht="12.6" customHeight="1" x14ac:dyDescent="0.3"/>
    <row r="898" ht="12.6" customHeight="1" x14ac:dyDescent="0.3"/>
    <row r="899" ht="12.6" customHeight="1" x14ac:dyDescent="0.3"/>
    <row r="900" ht="12.6" customHeight="1" x14ac:dyDescent="0.3"/>
    <row r="901" ht="12.6" customHeight="1" x14ac:dyDescent="0.3"/>
    <row r="902" ht="12.6" customHeight="1" x14ac:dyDescent="0.3"/>
    <row r="903" ht="12.6" customHeight="1" x14ac:dyDescent="0.3"/>
    <row r="904" ht="12.6" customHeight="1" x14ac:dyDescent="0.3"/>
    <row r="905" ht="12.6" customHeight="1" x14ac:dyDescent="0.3"/>
    <row r="906" ht="12.6" customHeight="1" x14ac:dyDescent="0.3"/>
    <row r="907" ht="12.6" customHeight="1" x14ac:dyDescent="0.3"/>
    <row r="908" ht="12.6" customHeight="1" x14ac:dyDescent="0.3"/>
    <row r="909" ht="12.6" customHeight="1" x14ac:dyDescent="0.3"/>
    <row r="910" ht="12.6" customHeight="1" x14ac:dyDescent="0.3"/>
    <row r="911" ht="12.6" customHeight="1" x14ac:dyDescent="0.3"/>
    <row r="912" ht="12.6" customHeight="1" x14ac:dyDescent="0.3"/>
    <row r="913" ht="12.6" customHeight="1" x14ac:dyDescent="0.3"/>
    <row r="914" ht="12.6" customHeight="1" x14ac:dyDescent="0.3"/>
    <row r="915" ht="12.6" customHeight="1" x14ac:dyDescent="0.3"/>
    <row r="916" ht="12.6" customHeight="1" x14ac:dyDescent="0.3"/>
    <row r="917" ht="12.6" customHeight="1" x14ac:dyDescent="0.3"/>
    <row r="918" ht="12.6" customHeight="1" x14ac:dyDescent="0.3"/>
    <row r="919" ht="12.6" customHeight="1" x14ac:dyDescent="0.3"/>
    <row r="920" ht="12.6" customHeight="1" x14ac:dyDescent="0.3"/>
    <row r="921" ht="12.6" customHeight="1" x14ac:dyDescent="0.3"/>
    <row r="922" ht="12.6" customHeight="1" x14ac:dyDescent="0.3"/>
    <row r="923" ht="12.6" customHeight="1" x14ac:dyDescent="0.3"/>
    <row r="924" ht="12.6" customHeight="1" x14ac:dyDescent="0.3"/>
    <row r="925" ht="12.6" customHeight="1" x14ac:dyDescent="0.3"/>
    <row r="926" ht="12.6" customHeight="1" x14ac:dyDescent="0.3"/>
    <row r="927" ht="12.6" customHeight="1" x14ac:dyDescent="0.3"/>
    <row r="928" ht="12.6" customHeight="1" x14ac:dyDescent="0.3"/>
    <row r="929" ht="12.6" customHeight="1" x14ac:dyDescent="0.3"/>
    <row r="930" ht="12.6" customHeight="1" x14ac:dyDescent="0.3"/>
    <row r="931" ht="12.6" customHeight="1" x14ac:dyDescent="0.3"/>
    <row r="932" ht="12.6" customHeight="1" x14ac:dyDescent="0.3"/>
    <row r="933" ht="12.6" customHeight="1" x14ac:dyDescent="0.3"/>
    <row r="934" ht="12.6" customHeight="1" x14ac:dyDescent="0.3"/>
    <row r="935" ht="12.6" customHeight="1" x14ac:dyDescent="0.3"/>
    <row r="936" ht="12.6" customHeight="1" x14ac:dyDescent="0.3"/>
    <row r="937" ht="12.6" customHeight="1" x14ac:dyDescent="0.3"/>
    <row r="938" ht="12.6" customHeight="1" x14ac:dyDescent="0.3"/>
    <row r="939" ht="12.6" customHeight="1" x14ac:dyDescent="0.3"/>
    <row r="940" ht="12.6" customHeight="1" x14ac:dyDescent="0.3"/>
    <row r="941" ht="12.6" customHeight="1" x14ac:dyDescent="0.3"/>
    <row r="942" ht="12.6" customHeight="1" x14ac:dyDescent="0.3"/>
    <row r="943" ht="12.6" customHeight="1" x14ac:dyDescent="0.3"/>
    <row r="944" ht="12.6" customHeight="1" x14ac:dyDescent="0.3"/>
    <row r="945" ht="12.6" customHeight="1" x14ac:dyDescent="0.3"/>
    <row r="946" ht="12.6" customHeight="1" x14ac:dyDescent="0.3"/>
    <row r="947" ht="12.6" customHeight="1" x14ac:dyDescent="0.3"/>
    <row r="948" ht="12.6" customHeight="1" x14ac:dyDescent="0.3"/>
    <row r="949" ht="12.6" customHeight="1" x14ac:dyDescent="0.3"/>
    <row r="950" ht="12.6" customHeight="1" x14ac:dyDescent="0.3"/>
    <row r="951" ht="12.6" customHeight="1" x14ac:dyDescent="0.3"/>
    <row r="952" ht="12.6" customHeight="1" x14ac:dyDescent="0.3"/>
    <row r="953" ht="12.6" customHeight="1" x14ac:dyDescent="0.3"/>
    <row r="954" ht="12.6" customHeight="1" x14ac:dyDescent="0.3"/>
    <row r="955" ht="12.6" customHeight="1" x14ac:dyDescent="0.3"/>
    <row r="956" ht="12.6" customHeight="1" x14ac:dyDescent="0.3"/>
    <row r="957" ht="12.6" customHeight="1" x14ac:dyDescent="0.3"/>
    <row r="958" ht="12.6" customHeight="1" x14ac:dyDescent="0.3"/>
    <row r="959" ht="12.6" customHeight="1" x14ac:dyDescent="0.3"/>
    <row r="960" ht="12.6" customHeight="1" x14ac:dyDescent="0.3"/>
    <row r="961" ht="12.6" customHeight="1" x14ac:dyDescent="0.3"/>
    <row r="962" ht="12.6" customHeight="1" x14ac:dyDescent="0.3"/>
    <row r="963" ht="12.6" customHeight="1" x14ac:dyDescent="0.3"/>
    <row r="964" ht="12.6" customHeight="1" x14ac:dyDescent="0.3"/>
    <row r="965" ht="12.6" customHeight="1" x14ac:dyDescent="0.3"/>
    <row r="966" ht="12.6" customHeight="1" x14ac:dyDescent="0.3"/>
    <row r="967" ht="12.6" customHeight="1" x14ac:dyDescent="0.3"/>
    <row r="968" ht="12.6" customHeight="1" x14ac:dyDescent="0.3"/>
    <row r="969" ht="12.6" customHeight="1" x14ac:dyDescent="0.3"/>
    <row r="970" ht="12.6" customHeight="1" x14ac:dyDescent="0.3"/>
    <row r="971" ht="12.6" customHeight="1" x14ac:dyDescent="0.3"/>
    <row r="972" ht="12.6" customHeight="1" x14ac:dyDescent="0.3"/>
    <row r="973" ht="12.6" customHeight="1" x14ac:dyDescent="0.3"/>
    <row r="974" ht="12.6" customHeight="1" x14ac:dyDescent="0.3"/>
    <row r="975" ht="12.6" customHeight="1" x14ac:dyDescent="0.3"/>
    <row r="976" ht="12.6" customHeight="1" x14ac:dyDescent="0.3"/>
    <row r="977" ht="12.6" customHeight="1" x14ac:dyDescent="0.3"/>
    <row r="978" ht="12.6" customHeight="1" x14ac:dyDescent="0.3"/>
    <row r="979" ht="12.6" customHeight="1" x14ac:dyDescent="0.3"/>
    <row r="980" ht="12.6" customHeight="1" x14ac:dyDescent="0.3"/>
    <row r="981" ht="12.6" customHeight="1" x14ac:dyDescent="0.3"/>
    <row r="982" ht="12.6" customHeight="1" x14ac:dyDescent="0.3"/>
    <row r="983" ht="12.6" customHeight="1" x14ac:dyDescent="0.3"/>
    <row r="984" ht="12.6" customHeight="1" x14ac:dyDescent="0.3"/>
    <row r="985" ht="12.6" customHeight="1" x14ac:dyDescent="0.3"/>
    <row r="986" ht="12.6" customHeight="1" x14ac:dyDescent="0.3"/>
    <row r="987" ht="12.6" customHeight="1" x14ac:dyDescent="0.3"/>
    <row r="988" ht="12.6" customHeight="1" x14ac:dyDescent="0.3"/>
    <row r="989" ht="12.6" customHeight="1" x14ac:dyDescent="0.3"/>
    <row r="990" ht="12.6" customHeight="1" x14ac:dyDescent="0.3"/>
    <row r="991" ht="12.6" customHeight="1" x14ac:dyDescent="0.3"/>
    <row r="992" ht="12.6" customHeight="1" x14ac:dyDescent="0.3"/>
    <row r="993" ht="12.6" customHeight="1" x14ac:dyDescent="0.3"/>
    <row r="994" ht="12.6" customHeight="1" x14ac:dyDescent="0.3"/>
    <row r="995" ht="12.6" customHeight="1" x14ac:dyDescent="0.3"/>
    <row r="996" ht="12.6" customHeight="1" x14ac:dyDescent="0.3"/>
    <row r="997" ht="12.6" customHeight="1" x14ac:dyDescent="0.3"/>
    <row r="998" ht="12.6" customHeight="1" x14ac:dyDescent="0.3"/>
    <row r="999" ht="12.6" customHeight="1" x14ac:dyDescent="0.3"/>
    <row r="1000" ht="12.6" customHeight="1" x14ac:dyDescent="0.3"/>
  </sheetData>
  <mergeCells count="26">
    <mergeCell ref="A27:E27"/>
    <mergeCell ref="B28:E28"/>
    <mergeCell ref="B29:E29"/>
    <mergeCell ref="B30:E30"/>
    <mergeCell ref="B17:E17"/>
    <mergeCell ref="B18:E18"/>
    <mergeCell ref="A20:E20"/>
    <mergeCell ref="B21:E21"/>
    <mergeCell ref="B22:E22"/>
    <mergeCell ref="B23:E23"/>
    <mergeCell ref="B24:E24"/>
    <mergeCell ref="B13:E13"/>
    <mergeCell ref="B14:E14"/>
    <mergeCell ref="B15:E15"/>
    <mergeCell ref="B16:E16"/>
    <mergeCell ref="B25:E25"/>
    <mergeCell ref="B7:E7"/>
    <mergeCell ref="A9:E9"/>
    <mergeCell ref="B10:E10"/>
    <mergeCell ref="B11:E11"/>
    <mergeCell ref="B12:E12"/>
    <mergeCell ref="A1:E1"/>
    <mergeCell ref="A2:E2"/>
    <mergeCell ref="A4:E4"/>
    <mergeCell ref="B5:E5"/>
    <mergeCell ref="B6:E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2"/>
  <sheetViews>
    <sheetView workbookViewId="0"/>
  </sheetViews>
  <sheetFormatPr defaultRowHeight="14.4" x14ac:dyDescent="0.3"/>
  <cols>
    <col min="1" max="1" width="10" customWidth="1"/>
    <col min="2" max="2" width="16" customWidth="1"/>
    <col min="3" max="3" width="28" customWidth="1"/>
    <col min="4" max="6" width="34" customWidth="1"/>
    <col min="7" max="7" width="40" customWidth="1"/>
    <col min="8" max="8" width="10" customWidth="1"/>
    <col min="9" max="10" width="28" customWidth="1"/>
    <col min="11" max="11" width="24" customWidth="1"/>
  </cols>
  <sheetData>
    <row r="1" spans="1:11" ht="189" x14ac:dyDescent="0.4">
      <c r="A1" s="2" t="s">
        <v>629</v>
      </c>
      <c r="B1" s="2"/>
      <c r="C1" s="2"/>
      <c r="D1" s="2"/>
      <c r="E1" s="2"/>
      <c r="F1" s="2"/>
      <c r="G1" s="2"/>
      <c r="H1" s="2"/>
      <c r="I1" s="2"/>
      <c r="J1" s="2"/>
      <c r="K1" s="2"/>
    </row>
    <row r="2" spans="1:11" ht="302.39999999999998" x14ac:dyDescent="0.3">
      <c r="A2" s="3" t="s">
        <v>630</v>
      </c>
      <c r="B2" s="3"/>
      <c r="C2" s="3"/>
      <c r="D2" s="3"/>
      <c r="E2" s="3"/>
      <c r="F2" s="3"/>
      <c r="G2" s="3"/>
      <c r="H2" s="3"/>
      <c r="I2" s="3"/>
      <c r="J2" s="3"/>
      <c r="K2" s="3"/>
    </row>
    <row r="4" spans="1:11" ht="28.8" x14ac:dyDescent="0.3">
      <c r="A4" s="9" t="s">
        <v>298</v>
      </c>
      <c r="B4" s="9" t="s">
        <v>631</v>
      </c>
      <c r="C4" s="9" t="s">
        <v>632</v>
      </c>
      <c r="D4" s="9" t="s">
        <v>633</v>
      </c>
      <c r="E4" s="9" t="s">
        <v>634</v>
      </c>
      <c r="F4" s="9" t="s">
        <v>635</v>
      </c>
      <c r="G4" s="9" t="s">
        <v>636</v>
      </c>
      <c r="H4" s="9" t="s">
        <v>637</v>
      </c>
      <c r="I4" s="9" t="s">
        <v>638</v>
      </c>
      <c r="J4" s="9" t="s">
        <v>639</v>
      </c>
      <c r="K4" s="9" t="s">
        <v>640</v>
      </c>
    </row>
    <row r="5" spans="1:11" ht="28.8" x14ac:dyDescent="0.3">
      <c r="A5" s="5" t="s">
        <v>314</v>
      </c>
      <c r="B5" s="5" t="s">
        <v>641</v>
      </c>
      <c r="C5" s="5" t="s">
        <v>642</v>
      </c>
      <c r="D5" s="5" t="s">
        <v>643</v>
      </c>
      <c r="E5" s="5" t="s">
        <v>644</v>
      </c>
      <c r="F5" s="5" t="s">
        <v>645</v>
      </c>
      <c r="G5" s="5" t="s">
        <v>646</v>
      </c>
      <c r="H5" s="5" t="s">
        <v>311</v>
      </c>
      <c r="I5" s="5" t="s">
        <v>647</v>
      </c>
      <c r="J5" s="5" t="s">
        <v>648</v>
      </c>
      <c r="K5" s="5" t="s">
        <v>649</v>
      </c>
    </row>
    <row r="6" spans="1:11" ht="28.8" x14ac:dyDescent="0.3">
      <c r="A6" s="5" t="s">
        <v>319</v>
      </c>
      <c r="B6" s="5" t="s">
        <v>650</v>
      </c>
      <c r="C6" s="5" t="s">
        <v>651</v>
      </c>
      <c r="D6" s="5" t="s">
        <v>652</v>
      </c>
      <c r="E6" s="5" t="s">
        <v>653</v>
      </c>
      <c r="F6" s="5" t="s">
        <v>654</v>
      </c>
      <c r="G6" s="5" t="s">
        <v>655</v>
      </c>
      <c r="H6" s="5" t="s">
        <v>317</v>
      </c>
      <c r="I6" s="5" t="s">
        <v>656</v>
      </c>
      <c r="J6" s="5" t="s">
        <v>657</v>
      </c>
      <c r="K6" s="5" t="s">
        <v>658</v>
      </c>
    </row>
    <row r="7" spans="1:11" ht="28.8" x14ac:dyDescent="0.3">
      <c r="A7" s="5" t="s">
        <v>325</v>
      </c>
      <c r="B7" s="5" t="s">
        <v>659</v>
      </c>
      <c r="C7" s="5" t="s">
        <v>660</v>
      </c>
      <c r="D7" s="5" t="s">
        <v>661</v>
      </c>
      <c r="E7" s="5" t="s">
        <v>662</v>
      </c>
      <c r="F7" s="5" t="s">
        <v>663</v>
      </c>
      <c r="G7" s="5" t="s">
        <v>664</v>
      </c>
      <c r="H7" s="5" t="s">
        <v>322</v>
      </c>
      <c r="I7" s="5" t="s">
        <v>665</v>
      </c>
      <c r="J7" s="5" t="s">
        <v>666</v>
      </c>
      <c r="K7" s="5" t="s">
        <v>667</v>
      </c>
    </row>
    <row r="8" spans="1:11" ht="28.8" x14ac:dyDescent="0.3">
      <c r="A8" s="5" t="s">
        <v>331</v>
      </c>
      <c r="B8" s="5" t="s">
        <v>668</v>
      </c>
      <c r="C8" s="5" t="s">
        <v>669</v>
      </c>
      <c r="D8" s="5" t="s">
        <v>670</v>
      </c>
      <c r="E8" s="5" t="s">
        <v>671</v>
      </c>
      <c r="F8" s="5" t="s">
        <v>672</v>
      </c>
      <c r="G8" s="5" t="s">
        <v>673</v>
      </c>
      <c r="H8" s="5" t="s">
        <v>328</v>
      </c>
      <c r="I8" s="5" t="s">
        <v>674</v>
      </c>
      <c r="J8" s="5" t="s">
        <v>675</v>
      </c>
      <c r="K8" s="5" t="s">
        <v>676</v>
      </c>
    </row>
    <row r="9" spans="1:11" x14ac:dyDescent="0.3">
      <c r="A9" s="5"/>
      <c r="B9" s="5"/>
      <c r="C9" s="5"/>
      <c r="D9" s="5"/>
      <c r="E9" s="5"/>
      <c r="F9" s="5"/>
      <c r="G9" s="5"/>
      <c r="H9" s="5"/>
      <c r="I9" s="5"/>
      <c r="J9" s="5"/>
      <c r="K9" s="5"/>
    </row>
    <row r="10" spans="1:11" ht="129.6" x14ac:dyDescent="0.3">
      <c r="A10" s="7" t="s">
        <v>677</v>
      </c>
      <c r="B10" s="7" t="s">
        <v>678</v>
      </c>
      <c r="C10" s="7"/>
      <c r="D10" s="7"/>
      <c r="E10" s="7"/>
      <c r="F10" s="7"/>
      <c r="G10" s="7"/>
      <c r="H10" s="7"/>
      <c r="I10" s="7"/>
      <c r="J10" s="7"/>
      <c r="K10" s="7"/>
    </row>
    <row r="11" spans="1:11" x14ac:dyDescent="0.3">
      <c r="A11" s="5"/>
      <c r="B11" s="5"/>
      <c r="C11" s="5"/>
      <c r="D11" s="5"/>
      <c r="E11" s="5"/>
      <c r="F11" s="5"/>
      <c r="G11" s="5"/>
      <c r="H11" s="5"/>
      <c r="I11" s="5"/>
      <c r="J11" s="5"/>
      <c r="K11" s="5"/>
    </row>
    <row r="12" spans="1:11" ht="43.2" x14ac:dyDescent="0.3">
      <c r="A12" s="9" t="s">
        <v>679</v>
      </c>
      <c r="B12" s="9" t="s">
        <v>680</v>
      </c>
      <c r="C12" s="9" t="s">
        <v>681</v>
      </c>
      <c r="D12" s="9" t="s">
        <v>682</v>
      </c>
      <c r="E12" s="9" t="s">
        <v>683</v>
      </c>
      <c r="F12" s="9" t="s">
        <v>684</v>
      </c>
      <c r="G12" s="9" t="s">
        <v>685</v>
      </c>
      <c r="H12" s="9" t="s">
        <v>686</v>
      </c>
      <c r="I12" s="9" t="s">
        <v>687</v>
      </c>
      <c r="J12" s="9" t="s">
        <v>688</v>
      </c>
      <c r="K12" s="9" t="s">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Tổng hợp</vt:lpstr>
      <vt:lpstr>Đường link quan trọng</vt:lpstr>
      <vt:lpstr>Thành viên nhóm</vt:lpstr>
      <vt:lpstr>Danh sách User Story</vt:lpstr>
      <vt:lpstr>Lộ trình</vt:lpstr>
      <vt:lpstr>Backlog</vt:lpstr>
      <vt:lpstr>Đặc tả tính năng</vt:lpstr>
      <vt:lpstr>Theo dõi lỗi</vt:lpstr>
      <vt:lpstr>Tài liệu quan trọng</vt:lpstr>
      <vt:lpstr>Hướng dẫn sử dụng</vt:lpstr>
      <vt:lpstr>Kế hoạch 4 tuần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S2 Shiina</cp:lastModifiedBy>
  <dcterms:modified xsi:type="dcterms:W3CDTF">2026-06-13T02:40:19Z</dcterms:modified>
</cp:coreProperties>
</file>